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720da36d3ad957/Documents/Bath uni/PhD/Data/greenland/"/>
    </mc:Choice>
  </mc:AlternateContent>
  <xr:revisionPtr revIDLastSave="12" documentId="8_{7DAF20F9-3C14-40E1-8DC0-8D98F5B75AD4}" xr6:coauthVersionLast="47" xr6:coauthVersionMax="47" xr10:uidLastSave="{327CD2D5-B8C3-4C7A-BC30-2ECA12D2FAB9}"/>
  <bookViews>
    <workbookView xWindow="8565" yWindow="-21720" windowWidth="38640" windowHeight="21120" activeTab="2" xr2:uid="{5FBECE4A-87C5-48C6-80C3-DCD92AFDA1E8}"/>
  </bookViews>
  <sheets>
    <sheet name="plants" sheetId="1" r:id="rId1"/>
    <sheet name="pollinators year 1" sheetId="3" r:id="rId2"/>
    <sheet name="pollinators year 2" sheetId="5" r:id="rId3"/>
    <sheet name="interactions" sheetId="4" r:id="rId4"/>
    <sheet name="Table001 (Page 1)" sheetId="2" r:id="rId5"/>
  </sheets>
  <definedNames>
    <definedName name="ExternalData_1" localSheetId="4" hidden="1">'Table001 (Page 1)'!$A$1:$M$35</definedName>
    <definedName name="ExternalData_2" localSheetId="4" hidden="1">'Table001 (Page 1)'!$A$39:$D$90</definedName>
    <definedName name="ExternalData_3" localSheetId="4" hidden="1">'Table001 (Page 1)'!$A$91:$D$136</definedName>
    <definedName name="ExternalData_4" localSheetId="4" hidden="1">'Table001 (Page 1)'!$A$137:$D$172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1_c8d07582-cf36-46f3-8bbb-fe6c047fad8d" name="Page001" connection="Query - Page001"/>
          <x15:modelTable id="Page002_e71e3e3d-9132-4a75-a160-5568edec576a" name="Page002" connection="Query - Page002"/>
          <x15:modelTable id="Page003_0682c49e-7357-45c6-b1f8-52a22416d9d0" name="Page003" connection="Query - Page00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2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" i="5"/>
  <c r="D3" i="5"/>
  <c r="D4" i="5"/>
  <c r="D5" i="5"/>
  <c r="D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98C788-2549-4E1D-80E7-3B52E9E7DF3C}" keepAlive="1" name="ModelConnection_ExternalData_2" description="Data Model" type="5" refreshedVersion="8" minRefreshableVersion="5" saveData="1">
    <dbPr connection="Data Model Connection" command="Page00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3F7CAD4-A432-43B5-B1F4-60ABA2D3E394}" keepAlive="1" name="ModelConnection_ExternalData_3" description="Data Model" type="5" refreshedVersion="8" minRefreshableVersion="5" saveData="1">
    <dbPr connection="Data Model Connection" command="Page00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CDD40FD-FDFD-42EB-B883-F58AEB18324A}" keepAlive="1" name="ModelConnection_ExternalData_4" description="Data Model" type="5" refreshedVersion="8" minRefreshableVersion="5" saveData="1">
    <dbPr connection="Data Model Connection" command="Page003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7AAEA03-A978-46B6-8B16-C151D99E4931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eda477f3-2eb9-4d38-bcfd-57b6447de0da"/>
      </ext>
    </extLst>
  </connection>
  <connection id="5" xr16:uid="{49108A77-17B0-4E0E-AFDC-66481A03B578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a5b32a0a-74e1-4038-ac38-07281991c9db"/>
      </ext>
    </extLst>
  </connection>
  <connection id="6" xr16:uid="{9F69F2E6-8295-44A0-9EFC-9BB8FCC64802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950ddf44-7cb7-4cb1-a9ab-e24d7946d846"/>
      </ext>
    </extLst>
  </connection>
  <connection id="7" xr16:uid="{19929C73-C261-4745-9269-D4665A90D5EE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8" xr16:uid="{B5828293-10B6-4139-AB9B-806C05C55B9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<sst xmlns="http://schemas.openxmlformats.org/spreadsheetml/2006/main" count="1821" uniqueCount="257">
  <si>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</si>
  <si>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</si>
  <si>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</si>
  <si>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</si>
  <si>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</si>
  <si>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</si>
  <si>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</si>
  <si>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</si>
  <si>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</si>
  <si>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</si>
  <si>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</si>
  <si>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</si>
  <si>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</si>
  <si>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1 y: day 1 = 21 June</t>
  </si>
  <si>
    <t>2 y: day 1 = 17 June
Pheno lgth = phenophase length</t>
  </si>
  <si>
    <t>presence</t>
  </si>
  <si>
    <t>start date</t>
  </si>
  <si>
    <t>end date</t>
  </si>
  <si>
    <t>start</t>
  </si>
  <si>
    <t>end</t>
  </si>
  <si>
    <t>pheno lgth</t>
  </si>
  <si>
    <t>Arenaria pseudofrigida</t>
  </si>
  <si>
    <t>1</t>
  </si>
  <si>
    <t>03-jul</t>
  </si>
  <si>
    <t>22-jul</t>
  </si>
  <si>
    <t>13</t>
  </si>
  <si>
    <t>32</t>
  </si>
  <si>
    <t>20</t>
  </si>
  <si>
    <t>14-jul</t>
  </si>
  <si>
    <t>10-aug</t>
  </si>
  <si>
    <t>28</t>
  </si>
  <si>
    <t>55</t>
  </si>
  <si>
    <t>Armeria scabra</t>
  </si>
  <si>
    <t>05-jul</t>
  </si>
  <si>
    <t>23-jul</t>
  </si>
  <si>
    <t>15</t>
  </si>
  <si>
    <t>33</t>
  </si>
  <si>
    <t>19</t>
  </si>
  <si>
    <t>29-jul</t>
  </si>
  <si>
    <t>21-aug</t>
  </si>
  <si>
    <t>43</t>
  </si>
  <si>
    <t>66</t>
  </si>
  <si>
    <t>24</t>
  </si>
  <si>
    <t>Arnica angustifolia</t>
  </si>
  <si>
    <t>17-jul</t>
  </si>
  <si>
    <t>01-aug</t>
  </si>
  <si>
    <t>27</t>
  </si>
  <si>
    <t>42</t>
  </si>
  <si>
    <t>16</t>
  </si>
  <si>
    <t>12</t>
  </si>
  <si>
    <t>Cassiope tetragona</t>
  </si>
  <si>
    <t>02-jul</t>
  </si>
  <si>
    <t>22</t>
  </si>
  <si>
    <t>23-jun</t>
  </si>
  <si>
    <t>7</t>
  </si>
  <si>
    <t>49</t>
  </si>
  <si>
    <t>Cerastium arcticum</t>
  </si>
  <si>
    <t>3</t>
  </si>
  <si>
    <t>40</t>
  </si>
  <si>
    <t>18-jun</t>
  </si>
  <si>
    <t>24-aug</t>
  </si>
  <si>
    <t>2</t>
  </si>
  <si>
    <t>69</t>
  </si>
  <si>
    <t>68</t>
  </si>
  <si>
    <t>Chamaenerion latifolium</t>
  </si>
  <si>
    <t>11-jul</t>
  </si>
  <si>
    <t>21</t>
  </si>
  <si>
    <t>Cochlearia groenlandica</t>
  </si>
  <si>
    <t>27-jul</t>
  </si>
  <si>
    <t>37</t>
  </si>
  <si>
    <t>6</t>
  </si>
  <si>
    <t>5-aug</t>
  </si>
  <si>
    <t>50</t>
  </si>
  <si>
    <t>Draba arctica</t>
  </si>
  <si>
    <t>24-jun</t>
  </si>
  <si>
    <t>8</t>
  </si>
  <si>
    <t>31</t>
  </si>
  <si>
    <t>Draba lactea</t>
  </si>
  <si>
    <t>9-aug</t>
  </si>
  <si>
    <t>54</t>
  </si>
  <si>
    <t>Dryas octopetala</t>
  </si>
  <si>
    <t>21-jun</t>
  </si>
  <si>
    <t>17-jun</t>
  </si>
  <si>
    <t>20-aug</t>
  </si>
  <si>
    <t>Erigeron compositus</t>
  </si>
  <si>
    <t>06-jul</t>
  </si>
  <si>
    <t>18</t>
  </si>
  <si>
    <t>Lesquerella arctica</t>
  </si>
  <si>
    <t>Melandrium triflorum</t>
  </si>
  <si>
    <t>28-jun</t>
  </si>
  <si>
    <t>35</t>
  </si>
  <si>
    <t>25-jun</t>
  </si>
  <si>
    <t>9</t>
  </si>
  <si>
    <t>58</t>
  </si>
  <si>
    <t>Papaver radicatum</t>
  </si>
  <si>
    <t>65</t>
  </si>
  <si>
    <t>Pedicularis flammea</t>
  </si>
  <si>
    <t>27-jun</t>
  </si>
  <si>
    <t>09-jul</t>
  </si>
  <si>
    <t>36</t>
  </si>
  <si>
    <t>Pedicularis hirsuta</t>
  </si>
  <si>
    <t>5</t>
  </si>
  <si>
    <t>15-jul</t>
  </si>
  <si>
    <t>28-jul</t>
  </si>
  <si>
    <t>29</t>
  </si>
  <si>
    <t>14</t>
  </si>
  <si>
    <t>Polygonum viviparum</t>
  </si>
  <si>
    <t>02-aug</t>
  </si>
  <si>
    <t>20-jul</t>
  </si>
  <si>
    <t>34</t>
  </si>
  <si>
    <t>Potentilla hyparctica</t>
  </si>
  <si>
    <t>04-jul</t>
  </si>
  <si>
    <t>Potentilla rubricaulis</t>
  </si>
  <si>
    <t>Ranunculus sulphureus</t>
  </si>
  <si>
    <t>18-jul</t>
  </si>
  <si>
    <t>24-jul</t>
  </si>
  <si>
    <t>25</t>
  </si>
  <si>
    <t>Rhododendron lapponicum</t>
  </si>
  <si>
    <t>Salix arctica</t>
  </si>
  <si>
    <t>Saxifraga caespitosa</t>
  </si>
  <si>
    <t>21-jul</t>
  </si>
  <si>
    <t>Saxifraga cernua</t>
  </si>
  <si>
    <t>10</t>
  </si>
  <si>
    <t>Saxifraga hirculus</t>
  </si>
  <si>
    <t>30</t>
  </si>
  <si>
    <t>Saxifraga nivalis</t>
  </si>
  <si>
    <t>26</t>
  </si>
  <si>
    <t>Saxifraga oppositifolia</t>
  </si>
  <si>
    <t>Silene acaulis</t>
  </si>
  <si>
    <t>29-jun</t>
  </si>
  <si>
    <t>57</t>
  </si>
  <si>
    <t>Stellaria longipes</t>
  </si>
  <si>
    <t>11</t>
  </si>
  <si>
    <t>Taraxacum phymatocarpum</t>
  </si>
  <si>
    <t>38</t>
  </si>
  <si>
    <t>Vaccinium uliginosum</t>
  </si>
  <si>
    <t>16-jul</t>
  </si>
  <si>
    <t>23</t>
  </si>
  <si>
    <t>TOTAL plant species</t>
  </si>
  <si>
    <t>1996</t>
  </si>
  <si>
    <t>Pheno lgth = phenophase length</t>
  </si>
  <si>
    <t>A. nigripes</t>
  </si>
  <si>
    <t>Parasyrphus tarsatus</t>
  </si>
  <si>
    <t>L. brachytomus</t>
  </si>
  <si>
    <t>46</t>
  </si>
  <si>
    <t>Rhamphomyia filicauda</t>
  </si>
  <si>
    <t>P. lundbecki</t>
  </si>
  <si>
    <t>41</t>
  </si>
  <si>
    <t>Phaonia bidentata</t>
  </si>
  <si>
    <t>S. sanctipauli</t>
  </si>
  <si>
    <t>Plebeius glandon spp. franklinii</t>
  </si>
  <si>
    <t>Nysius groenlandicus</t>
  </si>
  <si>
    <t>Genus sp.</t>
  </si>
  <si>
    <t>Bombus hyperboreus, B. polaris</t>
  </si>
  <si>
    <t>Aedes impiger</t>
  </si>
  <si>
    <t>Paraphaenocladius spp.</t>
  </si>
  <si>
    <t>Smittia spp.</t>
  </si>
  <si>
    <t>Clossiana chariclea, C. ?</t>
  </si>
  <si>
    <t>47</t>
  </si>
  <si>
    <t>39</t>
  </si>
  <si>
    <t>Colias hecla</t>
  </si>
  <si>
    <t>Cricotopus sp.</t>
  </si>
  <si>
    <t>Bradysia spp.</t>
  </si>
  <si>
    <t>R. nigrita</t>
  </si>
  <si>
    <t>D. segnis</t>
  </si>
  <si>
    <t>Chironomus sp.</t>
  </si>
  <si>
    <t>Eupeodes curtus</t>
  </si>
  <si>
    <t>Spilogona almqvistii</t>
  </si>
  <si>
    <t>Limnophyes spp.</t>
  </si>
  <si>
    <t>Culicoides sp.</t>
  </si>
  <si>
    <t>Chironomidae indet.</t>
  </si>
  <si>
    <t>17</t>
  </si>
  <si>
    <t>Brachypogon (subg. Isohelea) sp.</t>
  </si>
  <si>
    <t>Phytomyza fuscula</t>
  </si>
  <si>
    <t>Pseudosmittia sp.</t>
  </si>
  <si>
    <t>Rheocricotopus sp.</t>
  </si>
  <si>
    <t>S. micans</t>
  </si>
  <si>
    <t>Drymeia groenlandica</t>
  </si>
  <si>
    <t>S. dorsata</t>
  </si>
  <si>
    <t>S. melanosoma</t>
  </si>
  <si>
    <t>Scatopsciara sp.</t>
  </si>
  <si>
    <t>Olethreutes inquitana</t>
  </si>
  <si>
    <t>Stenomacrus sp. A</t>
  </si>
  <si>
    <t>Megaselia sp.</t>
  </si>
  <si>
    <t>Peleteria aenea</t>
  </si>
  <si>
    <t>Sympistis lapponica</t>
  </si>
  <si>
    <t>Lasiopiophila pilosa</t>
  </si>
  <si>
    <t>Gonarcticus arcticus</t>
  </si>
  <si>
    <t>S. denudata</t>
  </si>
  <si>
    <t>S. extensa</t>
  </si>
  <si>
    <t>Aphidius? sp.</t>
  </si>
  <si>
    <t>Limnophora sinuata</t>
  </si>
  <si>
    <t>Protophormia terraenovae</t>
  </si>
  <si>
    <t>Orthocladius sp.</t>
  </si>
  <si>
    <t>Scathophaga furcata</t>
  </si>
  <si>
    <t>S. obsoleta</t>
  </si>
  <si>
    <t>S. tornensis</t>
  </si>
  <si>
    <t>Lophosceles minimus</t>
  </si>
  <si>
    <t>Platycheirus carinatus</t>
  </si>
  <si>
    <t>Neoleria prominens</t>
  </si>
  <si>
    <t>Stenomacrus sp. B</t>
  </si>
  <si>
    <t>Stenomacrus sp. C</t>
  </si>
  <si>
    <t>S. tundrae</t>
  </si>
  <si>
    <t>1997</t>
  </si>
  <si>
    <t>2 y: day 1 = 17 June</t>
  </si>
  <si>
    <t>Platycheirus lundbecki</t>
  </si>
  <si>
    <t>Olethreutes mengelana</t>
  </si>
  <si>
    <t>Spilogona sanctipauli</t>
  </si>
  <si>
    <t>62</t>
  </si>
  <si>
    <t>Procladius sp.</t>
  </si>
  <si>
    <t>Drymeia segnis</t>
  </si>
  <si>
    <t>48</t>
  </si>
  <si>
    <t>Polia richardsoni</t>
  </si>
  <si>
    <t>Zaphne frontata</t>
  </si>
  <si>
    <t>Eukiefferiella sp.</t>
  </si>
  <si>
    <t>Orthocladiinae indet.</t>
  </si>
  <si>
    <t>09-aug</t>
  </si>
  <si>
    <t>Limnophyes brachytomus</t>
  </si>
  <si>
    <t>44</t>
  </si>
  <si>
    <t>Aedes nigripes</t>
  </si>
  <si>
    <t>12-jul</t>
  </si>
  <si>
    <t>Rhamphomyia nigrita</t>
  </si>
  <si>
    <t>Spilogona tornensis</t>
  </si>
  <si>
    <t>Spilogona dorsata</t>
  </si>
  <si>
    <t>Spilogona extensa</t>
  </si>
  <si>
    <t>Spilogona deflorata</t>
  </si>
  <si>
    <t>Delia echinata</t>
  </si>
  <si>
    <t>Eupeodes nigroventris</t>
  </si>
  <si>
    <t>Clossiana chariclea</t>
  </si>
  <si>
    <t>Spilogona tundrae</t>
  </si>
  <si>
    <t>Spilogona micans</t>
  </si>
  <si>
    <t>Spilogona malaisei</t>
  </si>
  <si>
    <t>Spilogona denudata</t>
  </si>
  <si>
    <t>Spilogona arcticola</t>
  </si>
  <si>
    <t>Forcipomyia sp.</t>
  </si>
  <si>
    <t>Entephria puncticeps</t>
  </si>
  <si>
    <t>Sympistis zetterstedti</t>
  </si>
  <si>
    <t>Spilogona melanosoma</t>
  </si>
  <si>
    <t>Syngrapha parilis</t>
  </si>
  <si>
    <t>Limnophyes sp.</t>
  </si>
  <si>
    <t>Microgasterinae sp.</t>
  </si>
  <si>
    <t>Megaspilidae sp.</t>
  </si>
  <si>
    <t>Spilogona obsoleta</t>
  </si>
  <si>
    <t>Paraphaenocladius sp.</t>
  </si>
  <si>
    <t>Chironomidae sp.</t>
  </si>
  <si>
    <t>Brachypogon sp.</t>
  </si>
  <si>
    <t>Orthocladiinae sp.</t>
  </si>
  <si>
    <t>Cryptinae sp.</t>
  </si>
  <si>
    <t>Bombus hyperboreus/polaris</t>
  </si>
  <si>
    <t>Plebeius glandon</t>
  </si>
  <si>
    <t>Diplazontinae sp.</t>
  </si>
  <si>
    <t>Eulophidae sp.</t>
  </si>
  <si>
    <t>Aphidius ? sp.</t>
  </si>
  <si>
    <t>name</t>
  </si>
  <si>
    <t>standardised_name</t>
  </si>
  <si>
    <t>year 1: day 1 = 21/06/1996</t>
  </si>
  <si>
    <t>year 2: day 1 = 17/06/1997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</si>
</sst>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4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464776</xdr:colOff>
      <xdr:row>81</xdr:row>
      <xdr:rowOff>80674</xdr:rowOff>
    </xdr:from>
    <xdr:to>
      <xdr:col>87</xdr:col>
      <xdr:colOff>202109</xdr:colOff>
      <xdr:row>119</xdr:row>
      <xdr:rowOff>28954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E26940-D51F-0B49-7EFD-95518E1020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/>
        </a:blip>
        <a:srcRect l="1299" t="59537" r="-813" b="-1895"/>
        <a:stretch>
          <a:fillRect/>
        </a:stretch>
      </xdr:blipFill>
      <xdr:spPr>
        <a:xfrm>
          <a:off x="32035821" y="14108401"/>
          <a:ext cx="28567344" cy="652442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14288</xdr:colOff>
      <xdr:row>11</xdr:row>
      <xdr:rowOff>14288</xdr:rowOff>
    </xdr:to>
    <xdr:pic>
      <xdr:nvPicPr>
        <xdr:cNvPr id="4" name="Picture 946">
          <a:extLst>
            <a:ext uri="{FF2B5EF4-FFF2-40B4-BE49-F238E27FC236}">
              <a16:creationId xmlns:a16="http://schemas.microsoft.com/office/drawing/2014/main" id="{381FBDAB-1C56-DBF7-6765-EB70D3FD8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"/>
          <a:ext cx="14288" cy="14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3640281</xdr:colOff>
      <xdr:row>105</xdr:row>
      <xdr:rowOff>162913</xdr:rowOff>
    </xdr:from>
    <xdr:to>
      <xdr:col>43</xdr:col>
      <xdr:colOff>135114</xdr:colOff>
      <xdr:row>197</xdr:row>
      <xdr:rowOff>88010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F41860-4883-443D-9386-9D87A261D7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9" t="-358" r="-813" b="-1890"/>
        <a:stretch>
          <a:fillRect/>
        </a:stretch>
      </xdr:blipFill>
      <xdr:spPr>
        <a:xfrm>
          <a:off x="3640281" y="18347004"/>
          <a:ext cx="28701889" cy="1585306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DEB395B-7FBF-4F00-BD2E-FAE9D9B9EB5D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491FB4DA-5971-483C-97F1-0EA3A55B350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  <extLst>
    <ext xmlns:x15="http://schemas.microsoft.com/office/spreadsheetml/2010/11/main" uri="{883FBD77-0823-4a55-B5E3-86C4891E6966}">
      <x15:queryTable sourceDataName="Query - Page00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647F9848-B2EC-4B4D-A7F5-17F7BC987B4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  <extLst>
    <ext xmlns:x15="http://schemas.microsoft.com/office/spreadsheetml/2010/11/main" uri="{883FBD77-0823-4a55-B5E3-86C4891E6966}">
      <x15:queryTable sourceDataName="Query - Page002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93FF39B7-0549-4A16-BB79-19EAEACB930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  <extLst>
    <ext xmlns:x15="http://schemas.microsoft.com/office/spreadsheetml/2010/11/main" uri="{883FBD77-0823-4a55-B5E3-86C4891E6966}">
      <x15:queryTable sourceDataName="Query - Page003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22908-ABD2-42BF-8E3C-C4F7248A18D8}" name="Table001__Page_1" displayName="Table001__Page_1" ref="A1:M35" tableType="queryTable" totalsRowShown="0">
  <autoFilter ref="A1:M35" xr:uid="{4D522908-ABD2-42BF-8E3C-C4F7248A18D8}"/>
  <tableColumns count="13">
    <tableColumn id="1" xr3:uid="{CB9683FA-9690-4EB8-AFC1-ADE3EA6A2424}" uniqueName="1" name="Column1" queryTableFieldId="1" dataDxfId="23"/>
    <tableColumn id="2" xr3:uid="{B7537245-944E-4128-8A15-0C9B673BBA11}" uniqueName="2" name="Column2" queryTableFieldId="2" dataDxfId="22"/>
    <tableColumn id="3" xr3:uid="{1C90D015-3853-468F-A409-D69B420F2E8A}" uniqueName="3" name="Column3" queryTableFieldId="3" dataDxfId="21"/>
    <tableColumn id="4" xr3:uid="{E0F4BBAE-9365-414C-B619-11AD99B3411F}" uniqueName="4" name="Column4" queryTableFieldId="4" dataDxfId="20"/>
    <tableColumn id="5" xr3:uid="{A9287DD9-B81B-4AEA-9873-F2B591188BC0}" uniqueName="5" name="Column5" queryTableFieldId="5" dataDxfId="19"/>
    <tableColumn id="6" xr3:uid="{4DFB1B15-DE91-4492-B02C-84F0163862E7}" uniqueName="6" name="Column6" queryTableFieldId="6" dataDxfId="18"/>
    <tableColumn id="7" xr3:uid="{7069D252-850C-4466-8F6F-BE4E252A26D1}" uniqueName="7" name="Column7" queryTableFieldId="7" dataDxfId="17"/>
    <tableColumn id="8" xr3:uid="{F4EE9ACF-93D7-4591-B263-4DE4F0903208}" uniqueName="8" name="Column8" queryTableFieldId="8" dataDxfId="16"/>
    <tableColumn id="9" xr3:uid="{4689787C-FA5B-4369-B0F0-8CDC164CF2D2}" uniqueName="9" name="Column9" queryTableFieldId="9" dataDxfId="15"/>
    <tableColumn id="10" xr3:uid="{04CD02D7-D257-436A-A5C9-4E6679DF027B}" uniqueName="10" name="Column10" queryTableFieldId="10" dataDxfId="14"/>
    <tableColumn id="11" xr3:uid="{94BFECB4-E366-4891-850D-10DFCB29BBD3}" uniqueName="11" name="Column11" queryTableFieldId="11" dataDxfId="13"/>
    <tableColumn id="12" xr3:uid="{381EFE24-CBBC-4F9B-A710-CE3A3716223B}" uniqueName="12" name="Column12" queryTableFieldId="12" dataDxfId="12"/>
    <tableColumn id="13" xr3:uid="{DDF97845-9715-4E11-AD36-50DAA6B64CE7}" uniqueName="13" name="Column13" queryTableFieldId="13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A2CF14-1DFE-49C0-93FB-E08003439635}" name="Page001" displayName="Page001" ref="A39:D90" tableType="queryTable" totalsRowShown="0">
  <autoFilter ref="A39:D90" xr:uid="{B9A2CF14-1DFE-49C0-93FB-E08003439635}"/>
  <tableColumns count="4">
    <tableColumn id="1" xr3:uid="{FCF0EA15-A5D5-424C-A1B5-6B89C734C5D3}" uniqueName="1" name="Column1" queryTableFieldId="1" dataDxfId="10"/>
    <tableColumn id="2" xr3:uid="{4E1318B3-0634-4C4E-A931-910151705D49}" uniqueName="2" name="Column2" queryTableFieldId="2" dataDxfId="9"/>
    <tableColumn id="3" xr3:uid="{79FBE25C-FB77-4950-9F95-EEF9F2805464}" uniqueName="3" name="Column3" queryTableFieldId="3" dataDxfId="8"/>
    <tableColumn id="4" xr3:uid="{C28D0CBA-6563-4CD7-8BDB-F259F889AD50}" uniqueName="4" name="Column4" queryTableFieldId="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BED438-C8F6-4D2E-B846-6B8F65B7ADD4}" name="Page002" displayName="Page002" ref="A91:D136" tableType="queryTable" totalsRowShown="0">
  <autoFilter ref="A91:D136" xr:uid="{CABED438-C8F6-4D2E-B846-6B8F65B7ADD4}"/>
  <tableColumns count="4">
    <tableColumn id="1" xr3:uid="{00753FA5-4811-44F7-8B99-462E03C2A624}" uniqueName="1" name="Column1" queryTableFieldId="1" dataDxfId="6"/>
    <tableColumn id="2" xr3:uid="{2831B83E-2F75-45B4-BB6F-656EBE6373A4}" uniqueName="2" name="Column2" queryTableFieldId="2" dataDxfId="5"/>
    <tableColumn id="3" xr3:uid="{F0AE8CE9-F341-4268-B300-EEB3E1D4CCFE}" uniqueName="3" name="Column3" queryTableFieldId="3" dataDxfId="4"/>
    <tableColumn id="4" xr3:uid="{91F09FE9-4F26-416F-B68F-F6BD4580FC3A}" uniqueName="4" name="Column4" queryTableFieldId="4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2B751B-07CD-4648-8EC7-53CABF978C53}" name="Page003" displayName="Page003" ref="A137:D172" tableType="queryTable" totalsRowShown="0">
  <autoFilter ref="A137:D172" xr:uid="{FB2B751B-07CD-4648-8EC7-53CABF978C53}"/>
  <tableColumns count="4">
    <tableColumn id="1" xr3:uid="{86310C90-9169-4E14-BDDD-2DAC0A3F42A4}" uniqueName="1" name="Column1" queryTableFieldId="1" dataDxfId="2"/>
    <tableColumn id="2" xr3:uid="{84AFACEF-C4D7-42E3-85BD-A44629631340}" uniqueName="2" name="Column2" queryTableFieldId="2" dataDxfId="1"/>
    <tableColumn id="3" xr3:uid="{5425E919-D1AE-417A-8DAB-172D26FEE535}" uniqueName="3" name="Column3" queryTableFieldId="3" dataDxfId="0"/>
    <tableColumn id="4" xr3:uid="{7AD6F54D-2D24-4040-A890-D3C5D8D9E12B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53F2-EA55-45A3-9428-F2150D987ABB}">
  <dimension ref="A1:M33"/>
  <sheetViews>
    <sheetView workbookViewId="0">
      <selection activeCell="P28" sqref="P28"/>
    </sheetView>
  </sheetViews>
  <sheetFormatPr defaultRowHeight="14.25" x14ac:dyDescent="0.45"/>
  <cols>
    <col min="1" max="1" width="49.86328125" customWidth="1"/>
    <col min="2" max="2" width="9.06640625" customWidth="1"/>
  </cols>
  <sheetData>
    <row r="1" spans="1:13" x14ac:dyDescent="0.45">
      <c r="B1" s="4" t="s">
        <v>255</v>
      </c>
      <c r="C1" s="4"/>
      <c r="D1" s="4"/>
      <c r="E1" s="4"/>
      <c r="F1" s="4"/>
      <c r="G1" s="4"/>
      <c r="H1" s="4" t="s">
        <v>256</v>
      </c>
      <c r="I1" s="4"/>
      <c r="J1" s="4"/>
      <c r="K1" s="4"/>
      <c r="L1" s="4"/>
      <c r="M1" s="4"/>
    </row>
    <row r="2" spans="1:13" x14ac:dyDescent="0.45">
      <c r="A2" s="3"/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4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22</v>
      </c>
      <c r="I3" t="s">
        <v>28</v>
      </c>
      <c r="J3" t="s">
        <v>29</v>
      </c>
      <c r="K3" t="s">
        <v>30</v>
      </c>
      <c r="L3" t="s">
        <v>31</v>
      </c>
      <c r="M3" t="s">
        <v>30</v>
      </c>
    </row>
    <row r="4" spans="1:13" x14ac:dyDescent="0.45">
      <c r="A4" t="s">
        <v>32</v>
      </c>
      <c r="B4" t="s">
        <v>22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22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</row>
    <row r="5" spans="1:13" x14ac:dyDescent="0.45">
      <c r="A5" t="s">
        <v>43</v>
      </c>
      <c r="B5" t="s">
        <v>22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22</v>
      </c>
      <c r="I5" t="s">
        <v>29</v>
      </c>
      <c r="J5" t="s">
        <v>39</v>
      </c>
      <c r="K5" t="s">
        <v>31</v>
      </c>
      <c r="L5" t="s">
        <v>41</v>
      </c>
      <c r="M5" t="s">
        <v>49</v>
      </c>
    </row>
    <row r="6" spans="1:13" x14ac:dyDescent="0.45">
      <c r="A6" t="s">
        <v>50</v>
      </c>
      <c r="B6" t="s">
        <v>22</v>
      </c>
      <c r="C6" t="s">
        <v>51</v>
      </c>
      <c r="D6" t="s">
        <v>34</v>
      </c>
      <c r="E6" t="s">
        <v>49</v>
      </c>
      <c r="F6" t="s">
        <v>36</v>
      </c>
      <c r="G6" t="s">
        <v>52</v>
      </c>
      <c r="H6" t="s">
        <v>22</v>
      </c>
      <c r="I6" t="s">
        <v>53</v>
      </c>
      <c r="J6" t="s">
        <v>29</v>
      </c>
      <c r="K6" t="s">
        <v>54</v>
      </c>
      <c r="L6" t="s">
        <v>31</v>
      </c>
      <c r="M6" t="s">
        <v>55</v>
      </c>
    </row>
    <row r="7" spans="1:13" x14ac:dyDescent="0.45">
      <c r="A7" t="s">
        <v>56</v>
      </c>
      <c r="B7" t="s">
        <v>22</v>
      </c>
      <c r="C7" t="s">
        <v>53</v>
      </c>
      <c r="D7" t="s">
        <v>45</v>
      </c>
      <c r="E7" t="s">
        <v>57</v>
      </c>
      <c r="F7" t="s">
        <v>47</v>
      </c>
      <c r="G7" t="s">
        <v>58</v>
      </c>
      <c r="H7" t="s">
        <v>22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</row>
    <row r="8" spans="1:13" x14ac:dyDescent="0.45">
      <c r="A8" t="s">
        <v>64</v>
      </c>
      <c r="B8" t="s">
        <v>22</v>
      </c>
      <c r="C8" t="s">
        <v>65</v>
      </c>
      <c r="D8" t="s">
        <v>45</v>
      </c>
      <c r="E8" t="s">
        <v>66</v>
      </c>
      <c r="F8" t="s">
        <v>47</v>
      </c>
      <c r="G8" t="s">
        <v>52</v>
      </c>
      <c r="H8" t="s">
        <v>22</v>
      </c>
      <c r="I8" t="s">
        <v>29</v>
      </c>
      <c r="J8" t="s">
        <v>29</v>
      </c>
      <c r="K8" t="s">
        <v>31</v>
      </c>
      <c r="L8" t="s">
        <v>31</v>
      </c>
      <c r="M8" t="s">
        <v>22</v>
      </c>
    </row>
    <row r="9" spans="1:13" x14ac:dyDescent="0.45">
      <c r="A9" t="s">
        <v>67</v>
      </c>
      <c r="B9" t="s">
        <v>22</v>
      </c>
      <c r="C9" t="s">
        <v>24</v>
      </c>
      <c r="D9" t="s">
        <v>68</v>
      </c>
      <c r="E9" t="s">
        <v>26</v>
      </c>
      <c r="F9" t="s">
        <v>69</v>
      </c>
      <c r="G9" t="s">
        <v>70</v>
      </c>
      <c r="H9" t="s">
        <v>22</v>
      </c>
      <c r="I9" t="s">
        <v>71</v>
      </c>
      <c r="J9" t="s">
        <v>29</v>
      </c>
      <c r="K9" t="s">
        <v>72</v>
      </c>
      <c r="L9" t="s">
        <v>31</v>
      </c>
      <c r="M9" t="s">
        <v>70</v>
      </c>
    </row>
    <row r="10" spans="1:13" x14ac:dyDescent="0.45">
      <c r="A10" t="s">
        <v>73</v>
      </c>
      <c r="B10" t="s">
        <v>22</v>
      </c>
      <c r="C10" t="s">
        <v>51</v>
      </c>
      <c r="D10" t="s">
        <v>51</v>
      </c>
      <c r="E10" t="s">
        <v>49</v>
      </c>
      <c r="F10" t="s">
        <v>49</v>
      </c>
      <c r="G10" t="s">
        <v>22</v>
      </c>
      <c r="H10" t="s">
        <v>22</v>
      </c>
      <c r="I10" t="s">
        <v>74</v>
      </c>
      <c r="J10" t="s">
        <v>44</v>
      </c>
      <c r="K10" t="s">
        <v>75</v>
      </c>
      <c r="L10" t="s">
        <v>76</v>
      </c>
      <c r="M10" t="s">
        <v>42</v>
      </c>
    </row>
    <row r="11" spans="1:13" x14ac:dyDescent="0.45">
      <c r="A11" t="s">
        <v>77</v>
      </c>
      <c r="B11" t="s">
        <v>22</v>
      </c>
      <c r="C11" t="s">
        <v>24</v>
      </c>
      <c r="D11" t="s">
        <v>34</v>
      </c>
      <c r="E11" t="s">
        <v>26</v>
      </c>
      <c r="F11" t="s">
        <v>36</v>
      </c>
      <c r="G11" t="s">
        <v>61</v>
      </c>
      <c r="H11" t="s">
        <v>22</v>
      </c>
      <c r="I11" t="s">
        <v>78</v>
      </c>
      <c r="J11" t="s">
        <v>29</v>
      </c>
      <c r="K11" t="s">
        <v>79</v>
      </c>
      <c r="L11" t="s">
        <v>31</v>
      </c>
      <c r="M11" t="s">
        <v>61</v>
      </c>
    </row>
    <row r="12" spans="1:13" x14ac:dyDescent="0.45">
      <c r="A12" t="s">
        <v>80</v>
      </c>
      <c r="B12" t="s">
        <v>22</v>
      </c>
      <c r="C12" t="s">
        <v>81</v>
      </c>
      <c r="D12" t="s">
        <v>68</v>
      </c>
      <c r="E12" t="s">
        <v>22</v>
      </c>
      <c r="F12" t="s">
        <v>69</v>
      </c>
      <c r="G12" t="s">
        <v>69</v>
      </c>
      <c r="H12" t="s">
        <v>22</v>
      </c>
      <c r="I12" t="s">
        <v>82</v>
      </c>
      <c r="J12" t="s">
        <v>83</v>
      </c>
      <c r="K12" t="s">
        <v>22</v>
      </c>
      <c r="L12" t="s">
        <v>31</v>
      </c>
      <c r="M12" t="s">
        <v>31</v>
      </c>
    </row>
    <row r="13" spans="1:13" x14ac:dyDescent="0.45">
      <c r="A13" t="s">
        <v>84</v>
      </c>
      <c r="B13" t="s">
        <v>22</v>
      </c>
      <c r="C13" t="s">
        <v>85</v>
      </c>
      <c r="D13" t="s">
        <v>34</v>
      </c>
      <c r="E13" t="s">
        <v>48</v>
      </c>
      <c r="F13" t="s">
        <v>36</v>
      </c>
      <c r="G13" t="s">
        <v>86</v>
      </c>
      <c r="H13" t="s">
        <v>22</v>
      </c>
      <c r="I13" t="s">
        <v>28</v>
      </c>
      <c r="J13" t="s">
        <v>28</v>
      </c>
      <c r="K13" t="s">
        <v>30</v>
      </c>
      <c r="L13" t="s">
        <v>30</v>
      </c>
      <c r="M13" t="s">
        <v>22</v>
      </c>
    </row>
    <row r="14" spans="1:13" x14ac:dyDescent="0.45">
      <c r="A14" t="s">
        <v>87</v>
      </c>
      <c r="B14" t="s">
        <v>22</v>
      </c>
      <c r="C14" t="s">
        <v>53</v>
      </c>
      <c r="D14" t="s">
        <v>53</v>
      </c>
      <c r="E14" t="s">
        <v>57</v>
      </c>
      <c r="F14" t="s">
        <v>57</v>
      </c>
      <c r="G14" t="s">
        <v>22</v>
      </c>
      <c r="H14" t="s">
        <v>22</v>
      </c>
      <c r="I14" t="s">
        <v>59</v>
      </c>
      <c r="J14" t="s">
        <v>74</v>
      </c>
      <c r="K14" t="s">
        <v>61</v>
      </c>
      <c r="L14" t="s">
        <v>75</v>
      </c>
      <c r="M14" t="s">
        <v>54</v>
      </c>
    </row>
    <row r="15" spans="1:13" x14ac:dyDescent="0.45">
      <c r="A15" t="s">
        <v>88</v>
      </c>
      <c r="B15" t="s">
        <v>22</v>
      </c>
      <c r="C15" t="s">
        <v>89</v>
      </c>
      <c r="D15" t="s">
        <v>45</v>
      </c>
      <c r="E15" t="s">
        <v>75</v>
      </c>
      <c r="F15" t="s">
        <v>47</v>
      </c>
      <c r="G15" t="s">
        <v>90</v>
      </c>
      <c r="H15" t="s">
        <v>22</v>
      </c>
      <c r="I15" t="s">
        <v>91</v>
      </c>
      <c r="J15" t="s">
        <v>39</v>
      </c>
      <c r="K15" t="s">
        <v>92</v>
      </c>
      <c r="L15" t="s">
        <v>41</v>
      </c>
      <c r="M15" t="s">
        <v>93</v>
      </c>
    </row>
    <row r="16" spans="1:13" x14ac:dyDescent="0.45">
      <c r="A16" t="s">
        <v>94</v>
      </c>
      <c r="B16" t="s">
        <v>22</v>
      </c>
      <c r="C16" t="s">
        <v>53</v>
      </c>
      <c r="D16" t="s">
        <v>68</v>
      </c>
      <c r="E16" t="s">
        <v>57</v>
      </c>
      <c r="F16" t="s">
        <v>69</v>
      </c>
      <c r="G16" t="s">
        <v>90</v>
      </c>
      <c r="H16" t="s">
        <v>22</v>
      </c>
      <c r="I16" t="s">
        <v>59</v>
      </c>
      <c r="J16" t="s">
        <v>39</v>
      </c>
      <c r="K16" t="s">
        <v>61</v>
      </c>
      <c r="L16" t="s">
        <v>41</v>
      </c>
      <c r="M16" t="s">
        <v>95</v>
      </c>
    </row>
    <row r="17" spans="1:13" x14ac:dyDescent="0.45">
      <c r="A17" t="s">
        <v>96</v>
      </c>
      <c r="B17" t="s">
        <v>22</v>
      </c>
      <c r="C17" t="s">
        <v>97</v>
      </c>
      <c r="D17" t="s">
        <v>98</v>
      </c>
      <c r="E17" t="s">
        <v>54</v>
      </c>
      <c r="F17" t="s">
        <v>37</v>
      </c>
      <c r="G17" t="s">
        <v>25</v>
      </c>
      <c r="H17" t="s">
        <v>22</v>
      </c>
      <c r="I17" t="s">
        <v>24</v>
      </c>
      <c r="J17" t="s">
        <v>24</v>
      </c>
      <c r="K17" t="s">
        <v>99</v>
      </c>
      <c r="L17" t="s">
        <v>99</v>
      </c>
      <c r="M17" t="s">
        <v>22</v>
      </c>
    </row>
    <row r="18" spans="1:13" x14ac:dyDescent="0.45">
      <c r="A18" t="s">
        <v>100</v>
      </c>
      <c r="B18" t="s">
        <v>22</v>
      </c>
      <c r="C18" t="s">
        <v>91</v>
      </c>
      <c r="D18" t="s">
        <v>24</v>
      </c>
      <c r="E18" t="s">
        <v>101</v>
      </c>
      <c r="F18" t="s">
        <v>26</v>
      </c>
      <c r="G18" t="s">
        <v>30</v>
      </c>
      <c r="H18" t="s">
        <v>22</v>
      </c>
      <c r="I18" t="s">
        <v>102</v>
      </c>
      <c r="J18" t="s">
        <v>103</v>
      </c>
      <c r="K18" t="s">
        <v>104</v>
      </c>
      <c r="L18" t="s">
        <v>47</v>
      </c>
      <c r="M18" t="s">
        <v>105</v>
      </c>
    </row>
    <row r="19" spans="1:13" x14ac:dyDescent="0.45">
      <c r="A19" t="s">
        <v>106</v>
      </c>
      <c r="B19" t="s">
        <v>22</v>
      </c>
      <c r="C19" t="s">
        <v>24</v>
      </c>
      <c r="D19" t="s">
        <v>107</v>
      </c>
      <c r="E19" t="s">
        <v>26</v>
      </c>
      <c r="F19" t="s">
        <v>40</v>
      </c>
      <c r="G19" t="s">
        <v>49</v>
      </c>
      <c r="H19" t="s">
        <v>22</v>
      </c>
      <c r="I19" t="s">
        <v>108</v>
      </c>
      <c r="J19" t="s">
        <v>60</v>
      </c>
      <c r="K19" t="s">
        <v>109</v>
      </c>
      <c r="L19" t="s">
        <v>62</v>
      </c>
      <c r="M19" t="s">
        <v>99</v>
      </c>
    </row>
    <row r="20" spans="1:13" x14ac:dyDescent="0.45">
      <c r="A20" t="s">
        <v>110</v>
      </c>
      <c r="B20" t="s">
        <v>22</v>
      </c>
      <c r="C20" t="s">
        <v>111</v>
      </c>
      <c r="D20" t="s">
        <v>34</v>
      </c>
      <c r="E20" t="s">
        <v>105</v>
      </c>
      <c r="F20" t="s">
        <v>36</v>
      </c>
      <c r="G20" t="s">
        <v>27</v>
      </c>
      <c r="H20" t="s">
        <v>22</v>
      </c>
      <c r="I20" t="s">
        <v>59</v>
      </c>
      <c r="J20" t="s">
        <v>29</v>
      </c>
      <c r="K20" t="s">
        <v>61</v>
      </c>
      <c r="L20" t="s">
        <v>31</v>
      </c>
      <c r="M20" t="s">
        <v>79</v>
      </c>
    </row>
    <row r="21" spans="1:13" x14ac:dyDescent="0.45">
      <c r="A21" t="s">
        <v>112</v>
      </c>
      <c r="B21" t="s">
        <v>22</v>
      </c>
      <c r="C21" t="s">
        <v>97</v>
      </c>
      <c r="D21" t="s">
        <v>34</v>
      </c>
      <c r="E21" t="s">
        <v>54</v>
      </c>
      <c r="F21" t="s">
        <v>36</v>
      </c>
      <c r="G21" t="s">
        <v>46</v>
      </c>
      <c r="H21" t="s">
        <v>22</v>
      </c>
      <c r="I21" t="s">
        <v>59</v>
      </c>
      <c r="J21" t="s">
        <v>29</v>
      </c>
      <c r="K21" t="s">
        <v>61</v>
      </c>
      <c r="L21" t="s">
        <v>31</v>
      </c>
      <c r="M21" t="s">
        <v>79</v>
      </c>
    </row>
    <row r="22" spans="1:13" x14ac:dyDescent="0.45">
      <c r="A22" t="s">
        <v>113</v>
      </c>
      <c r="B22" t="s">
        <v>22</v>
      </c>
      <c r="C22" t="s">
        <v>114</v>
      </c>
      <c r="D22" t="s">
        <v>115</v>
      </c>
      <c r="E22" t="s">
        <v>30</v>
      </c>
      <c r="F22" t="s">
        <v>109</v>
      </c>
      <c r="G22" t="s">
        <v>54</v>
      </c>
      <c r="H22" t="s">
        <v>22</v>
      </c>
      <c r="I22" t="s">
        <v>44</v>
      </c>
      <c r="J22" t="s">
        <v>29</v>
      </c>
      <c r="K22" t="s">
        <v>76</v>
      </c>
      <c r="L22" t="s">
        <v>31</v>
      </c>
      <c r="M22" t="s">
        <v>116</v>
      </c>
    </row>
    <row r="23" spans="1:13" x14ac:dyDescent="0.45">
      <c r="A23" t="s">
        <v>117</v>
      </c>
      <c r="B23" t="s">
        <v>22</v>
      </c>
      <c r="C23" t="s">
        <v>81</v>
      </c>
      <c r="D23" t="s">
        <v>51</v>
      </c>
      <c r="E23" t="s">
        <v>22</v>
      </c>
      <c r="F23" t="s">
        <v>49</v>
      </c>
      <c r="G23" t="s">
        <v>49</v>
      </c>
      <c r="H23" t="s">
        <v>22</v>
      </c>
      <c r="I23" t="s">
        <v>91</v>
      </c>
      <c r="J23" t="s">
        <v>28</v>
      </c>
      <c r="K23" t="s">
        <v>92</v>
      </c>
      <c r="L23" t="s">
        <v>30</v>
      </c>
      <c r="M23" t="s">
        <v>27</v>
      </c>
    </row>
    <row r="24" spans="1:13" x14ac:dyDescent="0.45">
      <c r="A24" t="s">
        <v>118</v>
      </c>
      <c r="B24" t="s">
        <v>22</v>
      </c>
      <c r="C24" t="s">
        <v>53</v>
      </c>
      <c r="D24" t="s">
        <v>68</v>
      </c>
      <c r="E24" t="s">
        <v>57</v>
      </c>
      <c r="F24" t="s">
        <v>69</v>
      </c>
      <c r="G24" t="s">
        <v>90</v>
      </c>
      <c r="H24" t="s">
        <v>22</v>
      </c>
      <c r="I24" t="s">
        <v>82</v>
      </c>
      <c r="J24" t="s">
        <v>29</v>
      </c>
      <c r="K24" t="s">
        <v>22</v>
      </c>
      <c r="L24" t="s">
        <v>31</v>
      </c>
      <c r="M24" t="s">
        <v>31</v>
      </c>
    </row>
    <row r="25" spans="1:13" x14ac:dyDescent="0.45">
      <c r="A25" t="s">
        <v>119</v>
      </c>
      <c r="B25" t="s">
        <v>22</v>
      </c>
      <c r="C25" t="s">
        <v>120</v>
      </c>
      <c r="D25" t="s">
        <v>45</v>
      </c>
      <c r="E25" t="s">
        <v>76</v>
      </c>
      <c r="F25" t="s">
        <v>47</v>
      </c>
      <c r="G25" t="s">
        <v>49</v>
      </c>
      <c r="H25" t="s">
        <v>22</v>
      </c>
      <c r="I25" t="s">
        <v>103</v>
      </c>
      <c r="J25" t="s">
        <v>83</v>
      </c>
      <c r="K25" t="s">
        <v>47</v>
      </c>
      <c r="L25" t="s">
        <v>95</v>
      </c>
      <c r="M25" t="s">
        <v>42</v>
      </c>
    </row>
    <row r="26" spans="1:13" x14ac:dyDescent="0.45">
      <c r="A26" t="s">
        <v>121</v>
      </c>
      <c r="B26" t="s">
        <v>22</v>
      </c>
      <c r="C26" t="s">
        <v>34</v>
      </c>
      <c r="D26" t="s">
        <v>45</v>
      </c>
      <c r="E26" t="s">
        <v>36</v>
      </c>
      <c r="F26" t="s">
        <v>47</v>
      </c>
      <c r="G26" t="s">
        <v>122</v>
      </c>
      <c r="H26" t="s">
        <v>22</v>
      </c>
      <c r="I26" t="s">
        <v>108</v>
      </c>
      <c r="J26" t="s">
        <v>39</v>
      </c>
      <c r="K26" t="s">
        <v>109</v>
      </c>
      <c r="L26" t="s">
        <v>41</v>
      </c>
      <c r="M26" t="s">
        <v>36</v>
      </c>
    </row>
    <row r="27" spans="1:13" x14ac:dyDescent="0.45">
      <c r="A27" t="s">
        <v>123</v>
      </c>
      <c r="B27" t="s">
        <v>22</v>
      </c>
      <c r="C27" t="s">
        <v>45</v>
      </c>
      <c r="D27" t="s">
        <v>107</v>
      </c>
      <c r="E27" t="s">
        <v>47</v>
      </c>
      <c r="F27" t="s">
        <v>40</v>
      </c>
      <c r="G27" t="s">
        <v>61</v>
      </c>
      <c r="H27" t="s">
        <v>22</v>
      </c>
      <c r="I27" t="s">
        <v>34</v>
      </c>
      <c r="J27" t="s">
        <v>39</v>
      </c>
      <c r="K27" t="s">
        <v>69</v>
      </c>
      <c r="L27" t="s">
        <v>41</v>
      </c>
      <c r="M27" t="s">
        <v>124</v>
      </c>
    </row>
    <row r="28" spans="1:13" x14ac:dyDescent="0.45">
      <c r="A28" t="s">
        <v>125</v>
      </c>
      <c r="B28" t="s">
        <v>22</v>
      </c>
      <c r="C28" t="s">
        <v>51</v>
      </c>
      <c r="D28" t="s">
        <v>68</v>
      </c>
      <c r="E28" t="s">
        <v>49</v>
      </c>
      <c r="F28" t="s">
        <v>69</v>
      </c>
      <c r="G28" t="s">
        <v>126</v>
      </c>
      <c r="H28" t="s">
        <v>22</v>
      </c>
      <c r="I28" t="s">
        <v>28</v>
      </c>
      <c r="J28" t="s">
        <v>29</v>
      </c>
      <c r="K28" t="s">
        <v>30</v>
      </c>
      <c r="L28" t="s">
        <v>31</v>
      </c>
      <c r="M28" t="s">
        <v>30</v>
      </c>
    </row>
    <row r="29" spans="1:13" x14ac:dyDescent="0.45">
      <c r="A29" t="s">
        <v>127</v>
      </c>
      <c r="B29" t="s">
        <v>22</v>
      </c>
      <c r="C29" t="s">
        <v>53</v>
      </c>
      <c r="D29" t="s">
        <v>34</v>
      </c>
      <c r="E29" t="s">
        <v>57</v>
      </c>
      <c r="F29" t="s">
        <v>36</v>
      </c>
      <c r="G29" t="s">
        <v>76</v>
      </c>
      <c r="H29" t="s">
        <v>22</v>
      </c>
      <c r="I29" t="s">
        <v>82</v>
      </c>
      <c r="J29" t="s">
        <v>83</v>
      </c>
      <c r="K29" t="s">
        <v>22</v>
      </c>
      <c r="L29" t="s">
        <v>31</v>
      </c>
      <c r="M29" t="s">
        <v>31</v>
      </c>
    </row>
    <row r="30" spans="1:13" x14ac:dyDescent="0.45">
      <c r="A30" t="s">
        <v>128</v>
      </c>
      <c r="B30" t="s">
        <v>22</v>
      </c>
      <c r="C30" t="s">
        <v>53</v>
      </c>
      <c r="D30" t="s">
        <v>45</v>
      </c>
      <c r="E30" t="s">
        <v>57</v>
      </c>
      <c r="F30" t="s">
        <v>47</v>
      </c>
      <c r="G30" t="s">
        <v>58</v>
      </c>
      <c r="H30" t="s">
        <v>22</v>
      </c>
      <c r="I30" t="s">
        <v>129</v>
      </c>
      <c r="J30" t="s">
        <v>60</v>
      </c>
      <c r="K30" t="s">
        <v>25</v>
      </c>
      <c r="L30" t="s">
        <v>62</v>
      </c>
      <c r="M30" t="s">
        <v>130</v>
      </c>
    </row>
    <row r="31" spans="1:13" x14ac:dyDescent="0.45">
      <c r="A31" t="s">
        <v>131</v>
      </c>
      <c r="B31" t="s">
        <v>22</v>
      </c>
      <c r="C31" t="s">
        <v>24</v>
      </c>
      <c r="D31" t="s">
        <v>45</v>
      </c>
      <c r="E31" t="s">
        <v>26</v>
      </c>
      <c r="F31" t="s">
        <v>47</v>
      </c>
      <c r="G31" t="s">
        <v>132</v>
      </c>
      <c r="H31" t="s">
        <v>22</v>
      </c>
      <c r="I31" t="s">
        <v>29</v>
      </c>
      <c r="J31" t="s">
        <v>39</v>
      </c>
      <c r="K31" t="s">
        <v>31</v>
      </c>
      <c r="L31" t="s">
        <v>41</v>
      </c>
      <c r="M31" t="s">
        <v>49</v>
      </c>
    </row>
    <row r="32" spans="1:13" x14ac:dyDescent="0.45">
      <c r="A32" t="s">
        <v>133</v>
      </c>
      <c r="B32" t="s">
        <v>22</v>
      </c>
      <c r="C32" t="s">
        <v>68</v>
      </c>
      <c r="D32" t="s">
        <v>68</v>
      </c>
      <c r="E32" t="s">
        <v>69</v>
      </c>
      <c r="F32" t="s">
        <v>69</v>
      </c>
      <c r="G32" t="s">
        <v>22</v>
      </c>
      <c r="H32" t="s">
        <v>22</v>
      </c>
      <c r="I32" t="s">
        <v>115</v>
      </c>
      <c r="J32" t="s">
        <v>29</v>
      </c>
      <c r="K32" t="s">
        <v>134</v>
      </c>
      <c r="L32" t="s">
        <v>31</v>
      </c>
      <c r="M32" t="s">
        <v>86</v>
      </c>
    </row>
    <row r="33" spans="1:13" x14ac:dyDescent="0.45">
      <c r="A33" t="s">
        <v>135</v>
      </c>
      <c r="B33" t="s">
        <v>22</v>
      </c>
      <c r="C33" t="s">
        <v>23</v>
      </c>
      <c r="D33" t="s">
        <v>136</v>
      </c>
      <c r="E33" t="s">
        <v>25</v>
      </c>
      <c r="F33" t="s">
        <v>126</v>
      </c>
      <c r="G33" t="s">
        <v>105</v>
      </c>
      <c r="H33" t="s">
        <v>22</v>
      </c>
      <c r="I33" t="s">
        <v>91</v>
      </c>
      <c r="J33" t="s">
        <v>44</v>
      </c>
      <c r="K33" t="s">
        <v>92</v>
      </c>
      <c r="L33" t="s">
        <v>76</v>
      </c>
      <c r="M33" t="s">
        <v>137</v>
      </c>
    </row>
  </sheetData>
  <mergeCells count="2">
    <mergeCell ref="B1:G1"/>
    <mergeCell ref="H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8D8D-814E-4F3E-BB09-F8FC8E679DDC}">
  <dimension ref="A1:E62"/>
  <sheetViews>
    <sheetView zoomScale="85" zoomScaleNormal="85" workbookViewId="0">
      <selection activeCell="F14" sqref="F14"/>
    </sheetView>
  </sheetViews>
  <sheetFormatPr defaultRowHeight="14.25" x14ac:dyDescent="0.45"/>
  <cols>
    <col min="1" max="2" width="31.86328125" customWidth="1"/>
  </cols>
  <sheetData>
    <row r="1" spans="1:5" x14ac:dyDescent="0.45">
      <c r="A1" t="s">
        <v>253</v>
      </c>
      <c r="B1" t="s">
        <v>254</v>
      </c>
      <c r="C1" t="s">
        <v>18</v>
      </c>
      <c r="D1" t="s">
        <v>19</v>
      </c>
      <c r="E1" t="s">
        <v>20</v>
      </c>
    </row>
    <row r="2" spans="1:5" x14ac:dyDescent="0.45">
      <c r="A2" t="s">
        <v>219</v>
      </c>
      <c r="B2" t="s">
        <v>219</v>
      </c>
      <c r="C2" t="s">
        <v>101</v>
      </c>
      <c r="D2" t="s">
        <v>69</v>
      </c>
      <c r="E2" t="s">
        <v>36</v>
      </c>
    </row>
    <row r="3" spans="1:5" x14ac:dyDescent="0.45">
      <c r="A3" t="s">
        <v>142</v>
      </c>
      <c r="B3" t="s">
        <v>142</v>
      </c>
      <c r="C3" t="s">
        <v>101</v>
      </c>
      <c r="D3" t="s">
        <v>49</v>
      </c>
      <c r="E3" t="s">
        <v>75</v>
      </c>
    </row>
    <row r="4" spans="1:5" x14ac:dyDescent="0.45">
      <c r="A4" t="s">
        <v>217</v>
      </c>
      <c r="B4" t="s">
        <v>217</v>
      </c>
      <c r="C4" t="s">
        <v>54</v>
      </c>
      <c r="D4" t="s">
        <v>144</v>
      </c>
      <c r="E4" t="s">
        <v>58</v>
      </c>
    </row>
    <row r="5" spans="1:5" x14ac:dyDescent="0.45">
      <c r="A5" t="s">
        <v>145</v>
      </c>
      <c r="B5" t="s">
        <v>145</v>
      </c>
      <c r="C5" t="s">
        <v>54</v>
      </c>
      <c r="D5" t="s">
        <v>144</v>
      </c>
      <c r="E5" t="s">
        <v>58</v>
      </c>
    </row>
    <row r="6" spans="1:5" x14ac:dyDescent="0.45">
      <c r="A6" t="s">
        <v>205</v>
      </c>
      <c r="B6" t="s">
        <v>205</v>
      </c>
      <c r="C6" t="s">
        <v>54</v>
      </c>
      <c r="D6" t="s">
        <v>147</v>
      </c>
      <c r="E6" t="s">
        <v>90</v>
      </c>
    </row>
    <row r="7" spans="1:5" x14ac:dyDescent="0.45">
      <c r="A7" t="s">
        <v>148</v>
      </c>
      <c r="B7" t="s">
        <v>148</v>
      </c>
      <c r="C7" t="s">
        <v>54</v>
      </c>
      <c r="D7" t="s">
        <v>27</v>
      </c>
      <c r="E7" t="s">
        <v>105</v>
      </c>
    </row>
    <row r="8" spans="1:5" x14ac:dyDescent="0.45">
      <c r="A8" t="s">
        <v>207</v>
      </c>
      <c r="B8" t="s">
        <v>207</v>
      </c>
      <c r="C8" t="s">
        <v>54</v>
      </c>
      <c r="D8" t="s">
        <v>69</v>
      </c>
      <c r="E8" t="s">
        <v>76</v>
      </c>
    </row>
    <row r="9" spans="1:5" x14ac:dyDescent="0.45">
      <c r="A9" t="s">
        <v>150</v>
      </c>
      <c r="B9" t="s">
        <v>249</v>
      </c>
      <c r="C9" t="s">
        <v>54</v>
      </c>
      <c r="D9" t="s">
        <v>54</v>
      </c>
      <c r="E9" t="s">
        <v>22</v>
      </c>
    </row>
    <row r="10" spans="1:5" x14ac:dyDescent="0.45">
      <c r="A10" t="s">
        <v>151</v>
      </c>
      <c r="B10" t="s">
        <v>151</v>
      </c>
      <c r="C10" t="s">
        <v>54</v>
      </c>
      <c r="D10" t="s">
        <v>69</v>
      </c>
      <c r="E10" t="s">
        <v>76</v>
      </c>
    </row>
    <row r="11" spans="1:5" x14ac:dyDescent="0.45">
      <c r="A11" t="s">
        <v>152</v>
      </c>
      <c r="B11" t="s">
        <v>152</v>
      </c>
      <c r="C11" t="s">
        <v>54</v>
      </c>
      <c r="D11" t="s">
        <v>54</v>
      </c>
      <c r="E11" t="s">
        <v>22</v>
      </c>
    </row>
    <row r="12" spans="1:5" x14ac:dyDescent="0.45">
      <c r="A12" t="s">
        <v>248</v>
      </c>
      <c r="B12" t="s">
        <v>248</v>
      </c>
      <c r="C12" t="s">
        <v>75</v>
      </c>
      <c r="D12" t="s">
        <v>48</v>
      </c>
      <c r="E12" t="s">
        <v>92</v>
      </c>
    </row>
    <row r="13" spans="1:5" x14ac:dyDescent="0.45">
      <c r="A13" t="s">
        <v>154</v>
      </c>
      <c r="B13" t="s">
        <v>154</v>
      </c>
      <c r="C13" t="s">
        <v>92</v>
      </c>
      <c r="D13" t="s">
        <v>69</v>
      </c>
      <c r="E13" t="s">
        <v>104</v>
      </c>
    </row>
    <row r="14" spans="1:5" x14ac:dyDescent="0.45">
      <c r="A14" t="s">
        <v>155</v>
      </c>
      <c r="B14" t="s">
        <v>243</v>
      </c>
      <c r="C14" t="s">
        <v>92</v>
      </c>
      <c r="D14" t="s">
        <v>69</v>
      </c>
      <c r="E14" t="s">
        <v>104</v>
      </c>
    </row>
    <row r="15" spans="1:5" x14ac:dyDescent="0.45">
      <c r="A15" t="s">
        <v>156</v>
      </c>
      <c r="B15" t="s">
        <v>156</v>
      </c>
      <c r="C15" t="s">
        <v>92</v>
      </c>
      <c r="D15" t="s">
        <v>134</v>
      </c>
      <c r="E15" t="s">
        <v>124</v>
      </c>
    </row>
    <row r="16" spans="1:5" x14ac:dyDescent="0.45">
      <c r="A16" t="s">
        <v>228</v>
      </c>
      <c r="B16" t="s">
        <v>228</v>
      </c>
      <c r="C16" t="s">
        <v>92</v>
      </c>
      <c r="D16" t="s">
        <v>158</v>
      </c>
      <c r="E16" t="s">
        <v>159</v>
      </c>
    </row>
    <row r="17" spans="1:5" x14ac:dyDescent="0.45">
      <c r="A17" t="s">
        <v>160</v>
      </c>
      <c r="B17" t="s">
        <v>160</v>
      </c>
      <c r="C17" t="s">
        <v>92</v>
      </c>
      <c r="D17" t="s">
        <v>147</v>
      </c>
      <c r="E17" t="s">
        <v>36</v>
      </c>
    </row>
    <row r="18" spans="1:5" x14ac:dyDescent="0.45">
      <c r="A18" t="s">
        <v>161</v>
      </c>
      <c r="B18" t="s">
        <v>161</v>
      </c>
      <c r="C18" t="s">
        <v>132</v>
      </c>
      <c r="D18" t="s">
        <v>116</v>
      </c>
      <c r="E18" t="s">
        <v>35</v>
      </c>
    </row>
    <row r="19" spans="1:5" x14ac:dyDescent="0.45">
      <c r="A19" t="s">
        <v>162</v>
      </c>
      <c r="B19" t="s">
        <v>162</v>
      </c>
      <c r="C19" t="s">
        <v>132</v>
      </c>
      <c r="D19" t="s">
        <v>147</v>
      </c>
      <c r="E19" t="s">
        <v>76</v>
      </c>
    </row>
    <row r="20" spans="1:5" x14ac:dyDescent="0.45">
      <c r="A20" t="s">
        <v>221</v>
      </c>
      <c r="B20" t="s">
        <v>221</v>
      </c>
      <c r="C20" t="s">
        <v>132</v>
      </c>
      <c r="D20" t="s">
        <v>144</v>
      </c>
      <c r="E20" t="s">
        <v>99</v>
      </c>
    </row>
    <row r="21" spans="1:5" x14ac:dyDescent="0.45">
      <c r="A21" t="s">
        <v>210</v>
      </c>
      <c r="B21" t="s">
        <v>210</v>
      </c>
      <c r="C21" t="s">
        <v>132</v>
      </c>
      <c r="D21" t="s">
        <v>90</v>
      </c>
      <c r="E21" t="s">
        <v>116</v>
      </c>
    </row>
    <row r="22" spans="1:5" x14ac:dyDescent="0.45">
      <c r="A22" t="s">
        <v>165</v>
      </c>
      <c r="B22" t="s">
        <v>165</v>
      </c>
      <c r="C22" t="s">
        <v>49</v>
      </c>
      <c r="D22" t="s">
        <v>49</v>
      </c>
      <c r="E22" t="s">
        <v>22</v>
      </c>
    </row>
    <row r="23" spans="1:5" x14ac:dyDescent="0.45">
      <c r="A23" t="s">
        <v>166</v>
      </c>
      <c r="B23" t="s">
        <v>166</v>
      </c>
      <c r="C23" t="s">
        <v>49</v>
      </c>
      <c r="D23" t="s">
        <v>49</v>
      </c>
      <c r="E23" t="s">
        <v>22</v>
      </c>
    </row>
    <row r="24" spans="1:5" x14ac:dyDescent="0.45">
      <c r="A24" t="s">
        <v>167</v>
      </c>
      <c r="B24" t="s">
        <v>167</v>
      </c>
      <c r="C24" t="s">
        <v>49</v>
      </c>
      <c r="D24" t="s">
        <v>144</v>
      </c>
      <c r="E24" t="s">
        <v>90</v>
      </c>
    </row>
    <row r="25" spans="1:5" x14ac:dyDescent="0.45">
      <c r="A25" t="s">
        <v>168</v>
      </c>
      <c r="B25" t="s">
        <v>239</v>
      </c>
      <c r="C25" t="s">
        <v>48</v>
      </c>
      <c r="D25" t="s">
        <v>90</v>
      </c>
      <c r="E25" t="s">
        <v>27</v>
      </c>
    </row>
    <row r="26" spans="1:5" x14ac:dyDescent="0.45">
      <c r="A26" t="s">
        <v>169</v>
      </c>
      <c r="B26" t="s">
        <v>169</v>
      </c>
      <c r="C26" t="s">
        <v>48</v>
      </c>
      <c r="D26" t="s">
        <v>116</v>
      </c>
      <c r="E26" t="s">
        <v>122</v>
      </c>
    </row>
    <row r="27" spans="1:5" x14ac:dyDescent="0.45">
      <c r="A27" t="s">
        <v>170</v>
      </c>
      <c r="B27" t="s">
        <v>244</v>
      </c>
      <c r="C27" t="s">
        <v>171</v>
      </c>
      <c r="D27" t="s">
        <v>99</v>
      </c>
      <c r="E27" t="s">
        <v>27</v>
      </c>
    </row>
    <row r="28" spans="1:5" x14ac:dyDescent="0.45">
      <c r="A28" t="s">
        <v>172</v>
      </c>
      <c r="B28" t="s">
        <v>245</v>
      </c>
      <c r="C28" t="s">
        <v>86</v>
      </c>
      <c r="D28" t="s">
        <v>124</v>
      </c>
      <c r="E28" t="s">
        <v>25</v>
      </c>
    </row>
    <row r="29" spans="1:5" x14ac:dyDescent="0.45">
      <c r="A29" t="s">
        <v>173</v>
      </c>
      <c r="B29" t="s">
        <v>173</v>
      </c>
      <c r="C29" t="s">
        <v>37</v>
      </c>
      <c r="D29" t="s">
        <v>76</v>
      </c>
      <c r="E29" t="s">
        <v>25</v>
      </c>
    </row>
    <row r="30" spans="1:5" x14ac:dyDescent="0.45">
      <c r="A30" t="s">
        <v>174</v>
      </c>
      <c r="B30" t="s">
        <v>174</v>
      </c>
      <c r="C30" t="s">
        <v>137</v>
      </c>
      <c r="D30" t="s">
        <v>144</v>
      </c>
      <c r="E30" t="s">
        <v>42</v>
      </c>
    </row>
    <row r="31" spans="1:5" x14ac:dyDescent="0.45">
      <c r="A31" t="s">
        <v>175</v>
      </c>
      <c r="B31" t="s">
        <v>175</v>
      </c>
      <c r="C31" t="s">
        <v>137</v>
      </c>
      <c r="D31" t="s">
        <v>69</v>
      </c>
      <c r="E31" t="s">
        <v>35</v>
      </c>
    </row>
    <row r="32" spans="1:5" x14ac:dyDescent="0.45">
      <c r="A32" t="s">
        <v>230</v>
      </c>
      <c r="B32" t="s">
        <v>230</v>
      </c>
      <c r="C32" t="s">
        <v>137</v>
      </c>
      <c r="D32" t="s">
        <v>147</v>
      </c>
      <c r="E32" t="s">
        <v>37</v>
      </c>
    </row>
    <row r="33" spans="1:5" x14ac:dyDescent="0.45">
      <c r="A33" t="s">
        <v>177</v>
      </c>
      <c r="B33" t="s">
        <v>177</v>
      </c>
      <c r="C33" t="s">
        <v>116</v>
      </c>
      <c r="D33" t="s">
        <v>116</v>
      </c>
      <c r="E33" t="s">
        <v>22</v>
      </c>
    </row>
    <row r="34" spans="1:5" x14ac:dyDescent="0.45">
      <c r="A34" t="s">
        <v>223</v>
      </c>
      <c r="B34" t="s">
        <v>223</v>
      </c>
      <c r="C34" t="s">
        <v>30</v>
      </c>
      <c r="D34" t="s">
        <v>144</v>
      </c>
      <c r="E34" t="s">
        <v>37</v>
      </c>
    </row>
    <row r="35" spans="1:5" x14ac:dyDescent="0.45">
      <c r="A35" t="s">
        <v>237</v>
      </c>
      <c r="B35" t="s">
        <v>237</v>
      </c>
      <c r="C35" t="s">
        <v>30</v>
      </c>
      <c r="D35" t="s">
        <v>30</v>
      </c>
      <c r="E35" t="s">
        <v>22</v>
      </c>
    </row>
    <row r="36" spans="1:5" x14ac:dyDescent="0.45">
      <c r="A36" t="s">
        <v>180</v>
      </c>
      <c r="B36" t="s">
        <v>180</v>
      </c>
      <c r="C36" t="s">
        <v>124</v>
      </c>
      <c r="D36" t="s">
        <v>69</v>
      </c>
      <c r="E36" t="s">
        <v>75</v>
      </c>
    </row>
    <row r="37" spans="1:5" x14ac:dyDescent="0.45">
      <c r="A37" t="s">
        <v>181</v>
      </c>
      <c r="B37" t="s">
        <v>181</v>
      </c>
      <c r="C37" t="s">
        <v>124</v>
      </c>
      <c r="D37" t="s">
        <v>124</v>
      </c>
      <c r="E37" t="s">
        <v>22</v>
      </c>
    </row>
    <row r="38" spans="1:5" x14ac:dyDescent="0.45">
      <c r="A38" t="s">
        <v>182</v>
      </c>
      <c r="B38" t="s">
        <v>182</v>
      </c>
      <c r="C38" t="s">
        <v>124</v>
      </c>
      <c r="D38" t="s">
        <v>144</v>
      </c>
      <c r="E38" t="s">
        <v>171</v>
      </c>
    </row>
    <row r="39" spans="1:5" x14ac:dyDescent="0.45">
      <c r="A39" t="s">
        <v>183</v>
      </c>
      <c r="B39" t="s">
        <v>183</v>
      </c>
      <c r="C39" t="s">
        <v>76</v>
      </c>
      <c r="D39" t="s">
        <v>76</v>
      </c>
      <c r="E39" t="s">
        <v>22</v>
      </c>
    </row>
    <row r="40" spans="1:5" x14ac:dyDescent="0.45">
      <c r="A40" t="s">
        <v>184</v>
      </c>
      <c r="B40" t="s">
        <v>184</v>
      </c>
      <c r="C40" t="s">
        <v>76</v>
      </c>
      <c r="D40" t="s">
        <v>69</v>
      </c>
      <c r="E40" t="s">
        <v>54</v>
      </c>
    </row>
    <row r="41" spans="1:5" x14ac:dyDescent="0.45">
      <c r="A41" t="s">
        <v>185</v>
      </c>
      <c r="B41" t="s">
        <v>185</v>
      </c>
      <c r="C41" t="s">
        <v>76</v>
      </c>
      <c r="D41" t="s">
        <v>76</v>
      </c>
      <c r="E41" t="s">
        <v>22</v>
      </c>
    </row>
    <row r="42" spans="1:5" x14ac:dyDescent="0.45">
      <c r="A42" t="s">
        <v>186</v>
      </c>
      <c r="B42" t="s">
        <v>186</v>
      </c>
      <c r="C42" t="s">
        <v>26</v>
      </c>
      <c r="D42" t="s">
        <v>99</v>
      </c>
      <c r="E42" t="s">
        <v>101</v>
      </c>
    </row>
    <row r="43" spans="1:5" x14ac:dyDescent="0.45">
      <c r="A43" t="s">
        <v>187</v>
      </c>
      <c r="B43" t="s">
        <v>187</v>
      </c>
      <c r="C43" t="s">
        <v>26</v>
      </c>
      <c r="D43" t="s">
        <v>26</v>
      </c>
      <c r="E43" t="s">
        <v>22</v>
      </c>
    </row>
    <row r="44" spans="1:5" x14ac:dyDescent="0.45">
      <c r="A44" t="s">
        <v>232</v>
      </c>
      <c r="B44" t="s">
        <v>232</v>
      </c>
      <c r="C44" t="s">
        <v>26</v>
      </c>
      <c r="D44" t="s">
        <v>144</v>
      </c>
      <c r="E44" t="s">
        <v>35</v>
      </c>
    </row>
    <row r="45" spans="1:5" x14ac:dyDescent="0.45">
      <c r="A45" t="s">
        <v>224</v>
      </c>
      <c r="B45" t="s">
        <v>224</v>
      </c>
      <c r="C45" t="s">
        <v>26</v>
      </c>
      <c r="D45" t="s">
        <v>144</v>
      </c>
      <c r="E45" t="s">
        <v>35</v>
      </c>
    </row>
    <row r="46" spans="1:5" x14ac:dyDescent="0.45">
      <c r="A46" t="s">
        <v>152</v>
      </c>
      <c r="B46" t="s">
        <v>152</v>
      </c>
      <c r="C46" t="s">
        <v>26</v>
      </c>
      <c r="D46" t="s">
        <v>26</v>
      </c>
      <c r="E46" t="s">
        <v>22</v>
      </c>
    </row>
    <row r="47" spans="1:5" x14ac:dyDescent="0.45">
      <c r="A47" t="s">
        <v>252</v>
      </c>
      <c r="B47" t="s">
        <v>252</v>
      </c>
      <c r="C47" t="s">
        <v>26</v>
      </c>
      <c r="D47" t="s">
        <v>26</v>
      </c>
      <c r="E47" t="s">
        <v>22</v>
      </c>
    </row>
    <row r="48" spans="1:5" x14ac:dyDescent="0.45">
      <c r="A48" t="s">
        <v>152</v>
      </c>
      <c r="B48" t="s">
        <v>152</v>
      </c>
      <c r="C48" t="s">
        <v>26</v>
      </c>
      <c r="D48" t="s">
        <v>26</v>
      </c>
      <c r="E48" t="s">
        <v>22</v>
      </c>
    </row>
    <row r="49" spans="1:5" x14ac:dyDescent="0.45">
      <c r="A49" t="s">
        <v>191</v>
      </c>
      <c r="B49" t="s">
        <v>191</v>
      </c>
      <c r="C49" t="s">
        <v>90</v>
      </c>
      <c r="D49" t="s">
        <v>144</v>
      </c>
      <c r="E49" t="s">
        <v>49</v>
      </c>
    </row>
    <row r="50" spans="1:5" x14ac:dyDescent="0.45">
      <c r="A50" t="s">
        <v>192</v>
      </c>
      <c r="B50" t="s">
        <v>192</v>
      </c>
      <c r="C50" t="s">
        <v>90</v>
      </c>
      <c r="D50" t="s">
        <v>69</v>
      </c>
      <c r="E50" t="s">
        <v>57</v>
      </c>
    </row>
    <row r="51" spans="1:5" x14ac:dyDescent="0.45">
      <c r="A51" t="s">
        <v>193</v>
      </c>
      <c r="B51" t="s">
        <v>193</v>
      </c>
      <c r="C51" t="s">
        <v>99</v>
      </c>
      <c r="D51" t="s">
        <v>69</v>
      </c>
      <c r="E51" t="s">
        <v>61</v>
      </c>
    </row>
    <row r="52" spans="1:5" x14ac:dyDescent="0.45">
      <c r="A52" t="s">
        <v>194</v>
      </c>
      <c r="B52" t="s">
        <v>194</v>
      </c>
      <c r="C52" t="s">
        <v>99</v>
      </c>
      <c r="D52" t="s">
        <v>147</v>
      </c>
      <c r="E52" t="s">
        <v>70</v>
      </c>
    </row>
    <row r="53" spans="1:5" x14ac:dyDescent="0.45">
      <c r="A53" t="s">
        <v>152</v>
      </c>
      <c r="B53" t="s">
        <v>152</v>
      </c>
      <c r="C53" t="s">
        <v>99</v>
      </c>
      <c r="D53" t="s">
        <v>99</v>
      </c>
      <c r="E53" t="s">
        <v>22</v>
      </c>
    </row>
    <row r="54" spans="1:5" x14ac:dyDescent="0.45">
      <c r="A54" t="s">
        <v>242</v>
      </c>
      <c r="B54" t="s">
        <v>242</v>
      </c>
      <c r="C54" t="s">
        <v>69</v>
      </c>
      <c r="D54" t="s">
        <v>69</v>
      </c>
      <c r="E54" t="s">
        <v>22</v>
      </c>
    </row>
    <row r="55" spans="1:5" x14ac:dyDescent="0.45">
      <c r="A55" t="s">
        <v>222</v>
      </c>
      <c r="B55" t="s">
        <v>222</v>
      </c>
      <c r="C55" t="s">
        <v>69</v>
      </c>
      <c r="D55" t="s">
        <v>147</v>
      </c>
      <c r="E55" t="s">
        <v>101</v>
      </c>
    </row>
    <row r="56" spans="1:5" x14ac:dyDescent="0.45">
      <c r="A56" t="s">
        <v>197</v>
      </c>
      <c r="B56" t="s">
        <v>197</v>
      </c>
      <c r="C56" t="s">
        <v>134</v>
      </c>
      <c r="D56" t="s">
        <v>134</v>
      </c>
      <c r="E56" t="s">
        <v>22</v>
      </c>
    </row>
    <row r="57" spans="1:5" x14ac:dyDescent="0.45">
      <c r="A57" t="s">
        <v>198</v>
      </c>
      <c r="B57" t="s">
        <v>198</v>
      </c>
      <c r="C57" t="s">
        <v>147</v>
      </c>
      <c r="D57" t="s">
        <v>147</v>
      </c>
      <c r="E57" t="s">
        <v>22</v>
      </c>
    </row>
    <row r="58" spans="1:5" x14ac:dyDescent="0.45">
      <c r="A58" t="s">
        <v>199</v>
      </c>
      <c r="B58" t="s">
        <v>199</v>
      </c>
      <c r="C58" t="s">
        <v>147</v>
      </c>
      <c r="D58" t="s">
        <v>147</v>
      </c>
      <c r="E58" t="s">
        <v>22</v>
      </c>
    </row>
    <row r="59" spans="1:5" x14ac:dyDescent="0.45">
      <c r="A59" t="s">
        <v>200</v>
      </c>
      <c r="B59" t="s">
        <v>200</v>
      </c>
      <c r="C59" t="s">
        <v>147</v>
      </c>
      <c r="D59" t="s">
        <v>144</v>
      </c>
      <c r="E59" t="s">
        <v>70</v>
      </c>
    </row>
    <row r="60" spans="1:5" x14ac:dyDescent="0.45">
      <c r="A60" t="s">
        <v>201</v>
      </c>
      <c r="B60" t="s">
        <v>201</v>
      </c>
      <c r="C60" t="s">
        <v>147</v>
      </c>
      <c r="D60" t="s">
        <v>147</v>
      </c>
      <c r="E60" t="s">
        <v>22</v>
      </c>
    </row>
    <row r="61" spans="1:5" x14ac:dyDescent="0.45">
      <c r="A61" t="s">
        <v>152</v>
      </c>
      <c r="B61" t="s">
        <v>152</v>
      </c>
      <c r="C61" t="s">
        <v>147</v>
      </c>
      <c r="D61" t="s">
        <v>144</v>
      </c>
      <c r="E61" t="s">
        <v>70</v>
      </c>
    </row>
    <row r="62" spans="1:5" x14ac:dyDescent="0.45">
      <c r="A62" t="s">
        <v>229</v>
      </c>
      <c r="B62" t="s">
        <v>229</v>
      </c>
      <c r="C62" t="s">
        <v>144</v>
      </c>
      <c r="D62" t="s">
        <v>144</v>
      </c>
      <c r="E6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0B68-27E0-4046-A521-5772B0B207B0}">
  <dimension ref="A1:G65"/>
  <sheetViews>
    <sheetView tabSelected="1" zoomScale="85" zoomScaleNormal="85" workbookViewId="0">
      <selection activeCell="M42" sqref="M42"/>
    </sheetView>
  </sheetViews>
  <sheetFormatPr defaultRowHeight="14.25" x14ac:dyDescent="0.45"/>
  <cols>
    <col min="1" max="1" width="51.19921875" customWidth="1"/>
    <col min="2" max="2" width="33.46484375" customWidth="1"/>
    <col min="3" max="3" width="31.59765625" customWidth="1"/>
    <col min="4" max="4" width="14.6640625" customWidth="1"/>
    <col min="5" max="5" width="19.86328125" customWidth="1"/>
    <col min="6" max="6" width="14.265625" customWidth="1"/>
    <col min="7" max="7" width="14.53125" customWidth="1"/>
  </cols>
  <sheetData>
    <row r="1" spans="1:7" x14ac:dyDescent="0.45">
      <c r="A1" t="s">
        <v>253</v>
      </c>
      <c r="B1" t="s">
        <v>254</v>
      </c>
      <c r="C1" t="s">
        <v>16</v>
      </c>
      <c r="D1" t="s">
        <v>18</v>
      </c>
      <c r="E1" t="s">
        <v>17</v>
      </c>
      <c r="F1" s="2" t="s">
        <v>19</v>
      </c>
      <c r="G1" t="s">
        <v>20</v>
      </c>
    </row>
    <row r="2" spans="1:7" x14ac:dyDescent="0.45">
      <c r="A2" t="s">
        <v>198</v>
      </c>
      <c r="B2" t="s">
        <v>198</v>
      </c>
      <c r="C2" s="1">
        <v>35598</v>
      </c>
      <c r="D2" s="2">
        <f>DATEDIF(C2,DATE(1997, 6, 17),"d")+1</f>
        <v>1</v>
      </c>
      <c r="E2" s="1">
        <v>35662</v>
      </c>
      <c r="F2" s="2">
        <f>_xlfn.DAYS(E2,DATE(1997, 6, 16))</f>
        <v>65</v>
      </c>
      <c r="G2" s="2">
        <f>F2-D2+1</f>
        <v>65</v>
      </c>
    </row>
    <row r="3" spans="1:7" x14ac:dyDescent="0.45">
      <c r="A3" t="s">
        <v>205</v>
      </c>
      <c r="B3" t="s">
        <v>205</v>
      </c>
      <c r="C3" s="1">
        <v>35598</v>
      </c>
      <c r="D3" s="2">
        <f t="shared" ref="D3:D5" si="0">DATEDIF(C3,DATE(1997, 6, 17),"d")+1</f>
        <v>1</v>
      </c>
      <c r="E3" s="1">
        <v>35663</v>
      </c>
      <c r="F3" s="2">
        <f t="shared" ref="F3:F65" si="1">_xlfn.DAYS(E3,DATE(1997, 6, 16))</f>
        <v>66</v>
      </c>
      <c r="G3" s="2">
        <f t="shared" ref="G3:G65" si="2">F3-D3+1</f>
        <v>66</v>
      </c>
    </row>
    <row r="4" spans="1:7" x14ac:dyDescent="0.45">
      <c r="A4" t="s">
        <v>156</v>
      </c>
      <c r="B4" t="s">
        <v>156</v>
      </c>
      <c r="C4" s="1">
        <v>35598</v>
      </c>
      <c r="D4" s="2">
        <f t="shared" si="0"/>
        <v>1</v>
      </c>
      <c r="E4" s="1">
        <v>35663</v>
      </c>
      <c r="F4" s="2">
        <f t="shared" si="1"/>
        <v>66</v>
      </c>
      <c r="G4" s="2">
        <f t="shared" si="2"/>
        <v>66</v>
      </c>
    </row>
    <row r="5" spans="1:7" x14ac:dyDescent="0.45">
      <c r="A5" t="s">
        <v>162</v>
      </c>
      <c r="B5" t="s">
        <v>162</v>
      </c>
      <c r="C5" s="1">
        <v>35598</v>
      </c>
      <c r="D5" s="2">
        <f t="shared" si="0"/>
        <v>1</v>
      </c>
      <c r="E5" s="1">
        <v>35666</v>
      </c>
      <c r="F5" s="2">
        <f t="shared" si="1"/>
        <v>69</v>
      </c>
      <c r="G5" s="2">
        <f t="shared" si="2"/>
        <v>69</v>
      </c>
    </row>
    <row r="6" spans="1:7" x14ac:dyDescent="0.45">
      <c r="A6" t="s">
        <v>152</v>
      </c>
      <c r="B6" t="s">
        <v>152</v>
      </c>
      <c r="C6" s="1">
        <v>35599</v>
      </c>
      <c r="D6" s="2">
        <f>_xlfn.DAYS(C6,DATE(1997, 6, 16))</f>
        <v>2</v>
      </c>
      <c r="E6" s="1">
        <v>35599</v>
      </c>
      <c r="F6" s="2">
        <f t="shared" si="1"/>
        <v>2</v>
      </c>
      <c r="G6" s="2">
        <f t="shared" si="2"/>
        <v>1</v>
      </c>
    </row>
    <row r="7" spans="1:7" x14ac:dyDescent="0.45">
      <c r="A7" t="s">
        <v>206</v>
      </c>
      <c r="B7" t="s">
        <v>206</v>
      </c>
      <c r="C7" s="1">
        <v>35599</v>
      </c>
      <c r="D7" s="2">
        <f t="shared" ref="D7:D65" si="3">_xlfn.DAYS(C7,DATE(1997, 6, 16))</f>
        <v>2</v>
      </c>
      <c r="E7" s="1">
        <v>35599</v>
      </c>
      <c r="F7" s="2">
        <f t="shared" si="1"/>
        <v>2</v>
      </c>
      <c r="G7" s="2">
        <f t="shared" si="2"/>
        <v>1</v>
      </c>
    </row>
    <row r="8" spans="1:7" x14ac:dyDescent="0.45">
      <c r="A8" t="s">
        <v>207</v>
      </c>
      <c r="B8" t="s">
        <v>207</v>
      </c>
      <c r="C8" s="1">
        <v>35599</v>
      </c>
      <c r="D8" s="2">
        <f t="shared" si="3"/>
        <v>2</v>
      </c>
      <c r="E8" s="1">
        <v>35663</v>
      </c>
      <c r="F8" s="2">
        <f t="shared" si="1"/>
        <v>66</v>
      </c>
      <c r="G8" s="2">
        <f t="shared" si="2"/>
        <v>65</v>
      </c>
    </row>
    <row r="9" spans="1:7" x14ac:dyDescent="0.45">
      <c r="A9" t="s">
        <v>145</v>
      </c>
      <c r="B9" t="s">
        <v>145</v>
      </c>
      <c r="C9" s="1">
        <v>35599</v>
      </c>
      <c r="D9" s="2">
        <f t="shared" si="3"/>
        <v>2</v>
      </c>
      <c r="E9" s="1">
        <v>35666</v>
      </c>
      <c r="F9" s="2">
        <f t="shared" si="1"/>
        <v>69</v>
      </c>
      <c r="G9" s="2">
        <f t="shared" si="2"/>
        <v>68</v>
      </c>
    </row>
    <row r="10" spans="1:7" x14ac:dyDescent="0.45">
      <c r="A10" t="s">
        <v>152</v>
      </c>
      <c r="B10" t="s">
        <v>152</v>
      </c>
      <c r="C10" s="1">
        <v>35602</v>
      </c>
      <c r="D10" s="2">
        <f t="shared" si="3"/>
        <v>5</v>
      </c>
      <c r="E10" s="1">
        <v>35602</v>
      </c>
      <c r="F10" s="2">
        <f t="shared" si="1"/>
        <v>5</v>
      </c>
      <c r="G10" s="2">
        <f t="shared" si="2"/>
        <v>1</v>
      </c>
    </row>
    <row r="11" spans="1:7" x14ac:dyDescent="0.45">
      <c r="A11" t="s">
        <v>148</v>
      </c>
      <c r="B11" t="s">
        <v>148</v>
      </c>
      <c r="C11" s="1">
        <v>35602</v>
      </c>
      <c r="D11" s="2">
        <f t="shared" si="3"/>
        <v>5</v>
      </c>
      <c r="E11" s="1">
        <v>35602</v>
      </c>
      <c r="F11" s="2">
        <f t="shared" si="1"/>
        <v>5</v>
      </c>
      <c r="G11" s="2">
        <f t="shared" si="2"/>
        <v>1</v>
      </c>
    </row>
    <row r="12" spans="1:7" x14ac:dyDescent="0.45">
      <c r="A12" t="s">
        <v>142</v>
      </c>
      <c r="B12" t="s">
        <v>142</v>
      </c>
      <c r="C12" s="1">
        <v>35602</v>
      </c>
      <c r="D12" s="2">
        <f t="shared" si="3"/>
        <v>5</v>
      </c>
      <c r="E12" s="1">
        <v>35663</v>
      </c>
      <c r="F12" s="2">
        <f t="shared" si="1"/>
        <v>66</v>
      </c>
      <c r="G12" s="2">
        <f t="shared" si="2"/>
        <v>62</v>
      </c>
    </row>
    <row r="13" spans="1:7" x14ac:dyDescent="0.45">
      <c r="A13" t="s">
        <v>209</v>
      </c>
      <c r="B13" t="s">
        <v>209</v>
      </c>
      <c r="C13" s="1">
        <v>35605</v>
      </c>
      <c r="D13" s="2">
        <f t="shared" si="3"/>
        <v>8</v>
      </c>
      <c r="E13" s="1">
        <v>35606</v>
      </c>
      <c r="F13" s="2">
        <f t="shared" si="1"/>
        <v>9</v>
      </c>
      <c r="G13" s="2">
        <f t="shared" si="2"/>
        <v>2</v>
      </c>
    </row>
    <row r="14" spans="1:7" x14ac:dyDescent="0.45">
      <c r="A14" t="s">
        <v>248</v>
      </c>
      <c r="B14" t="s">
        <v>248</v>
      </c>
      <c r="C14" s="1">
        <v>35605</v>
      </c>
      <c r="D14" s="2">
        <f t="shared" si="3"/>
        <v>8</v>
      </c>
      <c r="E14" s="1">
        <v>35620</v>
      </c>
      <c r="F14" s="2">
        <f t="shared" si="1"/>
        <v>23</v>
      </c>
      <c r="G14" s="2">
        <f t="shared" si="2"/>
        <v>16</v>
      </c>
    </row>
    <row r="15" spans="1:7" x14ac:dyDescent="0.45">
      <c r="A15" t="s">
        <v>155</v>
      </c>
      <c r="B15" t="s">
        <v>243</v>
      </c>
      <c r="C15" s="1">
        <v>35605</v>
      </c>
      <c r="D15" s="2">
        <f t="shared" si="3"/>
        <v>8</v>
      </c>
      <c r="E15" s="1">
        <v>35639</v>
      </c>
      <c r="F15" s="2">
        <f t="shared" si="1"/>
        <v>42</v>
      </c>
      <c r="G15" s="2">
        <f t="shared" si="2"/>
        <v>35</v>
      </c>
    </row>
    <row r="16" spans="1:7" x14ac:dyDescent="0.45">
      <c r="A16" t="s">
        <v>154</v>
      </c>
      <c r="B16" t="s">
        <v>154</v>
      </c>
      <c r="C16" s="1">
        <v>35605</v>
      </c>
      <c r="D16" s="2">
        <f t="shared" si="3"/>
        <v>8</v>
      </c>
      <c r="E16" s="1">
        <v>35640</v>
      </c>
      <c r="F16" s="2">
        <f t="shared" si="1"/>
        <v>43</v>
      </c>
      <c r="G16" s="2">
        <f t="shared" si="2"/>
        <v>36</v>
      </c>
    </row>
    <row r="17" spans="1:7" x14ac:dyDescent="0.45">
      <c r="A17" t="s">
        <v>210</v>
      </c>
      <c r="B17" t="s">
        <v>210</v>
      </c>
      <c r="C17" s="1">
        <v>35605</v>
      </c>
      <c r="D17" s="2">
        <f t="shared" si="3"/>
        <v>8</v>
      </c>
      <c r="E17" s="1">
        <v>35640</v>
      </c>
      <c r="F17" s="2">
        <f t="shared" si="1"/>
        <v>43</v>
      </c>
      <c r="G17" s="2">
        <f t="shared" si="2"/>
        <v>36</v>
      </c>
    </row>
    <row r="18" spans="1:7" x14ac:dyDescent="0.45">
      <c r="A18" t="s">
        <v>168</v>
      </c>
      <c r="B18" t="s">
        <v>239</v>
      </c>
      <c r="C18" s="1">
        <v>35605</v>
      </c>
      <c r="D18" s="2">
        <f t="shared" si="3"/>
        <v>8</v>
      </c>
      <c r="E18" s="1">
        <v>35640</v>
      </c>
      <c r="F18" s="2">
        <f t="shared" si="1"/>
        <v>43</v>
      </c>
      <c r="G18" s="2">
        <f t="shared" si="2"/>
        <v>36</v>
      </c>
    </row>
    <row r="19" spans="1:7" x14ac:dyDescent="0.45">
      <c r="A19" t="s">
        <v>172</v>
      </c>
      <c r="B19" t="s">
        <v>245</v>
      </c>
      <c r="C19" s="1">
        <v>35605</v>
      </c>
      <c r="D19" s="2">
        <f t="shared" si="3"/>
        <v>8</v>
      </c>
      <c r="E19" s="1">
        <v>35652</v>
      </c>
      <c r="F19" s="2">
        <f t="shared" si="1"/>
        <v>55</v>
      </c>
      <c r="G19" s="2">
        <f t="shared" si="2"/>
        <v>48</v>
      </c>
    </row>
    <row r="20" spans="1:7" x14ac:dyDescent="0.45">
      <c r="A20" t="s">
        <v>212</v>
      </c>
      <c r="B20" t="s">
        <v>212</v>
      </c>
      <c r="C20" s="1">
        <v>35606</v>
      </c>
      <c r="D20" s="2">
        <f t="shared" si="3"/>
        <v>9</v>
      </c>
      <c r="E20" s="1">
        <v>35652</v>
      </c>
      <c r="F20" s="2">
        <f t="shared" si="1"/>
        <v>55</v>
      </c>
      <c r="G20" s="2">
        <f t="shared" si="2"/>
        <v>47</v>
      </c>
    </row>
    <row r="21" spans="1:7" x14ac:dyDescent="0.45">
      <c r="A21" t="s">
        <v>213</v>
      </c>
      <c r="B21" t="s">
        <v>213</v>
      </c>
      <c r="C21" s="1">
        <v>35606</v>
      </c>
      <c r="D21" s="2">
        <f t="shared" si="3"/>
        <v>9</v>
      </c>
      <c r="E21" s="1">
        <v>35652</v>
      </c>
      <c r="F21" s="2">
        <f t="shared" si="1"/>
        <v>55</v>
      </c>
      <c r="G21" s="2">
        <f t="shared" si="2"/>
        <v>47</v>
      </c>
    </row>
    <row r="22" spans="1:7" x14ac:dyDescent="0.45">
      <c r="A22" t="s">
        <v>152</v>
      </c>
      <c r="B22" t="s">
        <v>152</v>
      </c>
      <c r="C22" s="1">
        <v>35610</v>
      </c>
      <c r="D22" s="2">
        <f t="shared" si="3"/>
        <v>13</v>
      </c>
      <c r="E22" s="1">
        <v>35610</v>
      </c>
      <c r="F22" s="2">
        <f t="shared" si="1"/>
        <v>13</v>
      </c>
      <c r="G22" s="2">
        <f t="shared" si="2"/>
        <v>1</v>
      </c>
    </row>
    <row r="23" spans="1:7" x14ac:dyDescent="0.45">
      <c r="A23" t="s">
        <v>181</v>
      </c>
      <c r="B23" t="s">
        <v>181</v>
      </c>
      <c r="C23" s="1">
        <v>35610</v>
      </c>
      <c r="D23" s="2">
        <f t="shared" si="3"/>
        <v>13</v>
      </c>
      <c r="E23" s="1">
        <v>35610</v>
      </c>
      <c r="F23" s="2">
        <f t="shared" si="1"/>
        <v>13</v>
      </c>
      <c r="G23" s="2">
        <f t="shared" si="2"/>
        <v>1</v>
      </c>
    </row>
    <row r="24" spans="1:7" x14ac:dyDescent="0.45">
      <c r="A24" t="s">
        <v>177</v>
      </c>
      <c r="B24" t="s">
        <v>177</v>
      </c>
      <c r="C24" s="1">
        <v>35610</v>
      </c>
      <c r="D24" s="2">
        <f t="shared" si="3"/>
        <v>13</v>
      </c>
      <c r="E24" s="1">
        <v>35633</v>
      </c>
      <c r="F24" s="2">
        <f t="shared" si="1"/>
        <v>36</v>
      </c>
      <c r="G24" s="2">
        <f t="shared" si="2"/>
        <v>24</v>
      </c>
    </row>
    <row r="25" spans="1:7" x14ac:dyDescent="0.45">
      <c r="A25" t="s">
        <v>214</v>
      </c>
      <c r="B25" t="s">
        <v>214</v>
      </c>
      <c r="C25" s="1">
        <v>35620</v>
      </c>
      <c r="D25" s="2">
        <f t="shared" si="3"/>
        <v>23</v>
      </c>
      <c r="E25" s="1">
        <v>35631</v>
      </c>
      <c r="F25" s="2">
        <f t="shared" si="1"/>
        <v>34</v>
      </c>
      <c r="G25" s="2">
        <f t="shared" si="2"/>
        <v>12</v>
      </c>
    </row>
    <row r="26" spans="1:7" x14ac:dyDescent="0.45">
      <c r="A26" t="s">
        <v>215</v>
      </c>
      <c r="B26" t="s">
        <v>246</v>
      </c>
      <c r="C26" s="1">
        <v>35620</v>
      </c>
      <c r="D26" s="2">
        <f t="shared" si="3"/>
        <v>23</v>
      </c>
      <c r="E26" s="1">
        <v>35651</v>
      </c>
      <c r="F26" s="2">
        <f t="shared" si="1"/>
        <v>54</v>
      </c>
      <c r="G26" s="2">
        <f t="shared" si="2"/>
        <v>32</v>
      </c>
    </row>
    <row r="27" spans="1:7" x14ac:dyDescent="0.45">
      <c r="A27" t="s">
        <v>217</v>
      </c>
      <c r="B27" t="s">
        <v>217</v>
      </c>
      <c r="C27" s="1">
        <v>35620</v>
      </c>
      <c r="D27" s="2">
        <f t="shared" si="3"/>
        <v>23</v>
      </c>
      <c r="E27" s="1">
        <v>35663</v>
      </c>
      <c r="F27" s="2">
        <f t="shared" si="1"/>
        <v>66</v>
      </c>
      <c r="G27" s="2">
        <f t="shared" si="2"/>
        <v>44</v>
      </c>
    </row>
    <row r="28" spans="1:7" x14ac:dyDescent="0.45">
      <c r="A28" t="s">
        <v>167</v>
      </c>
      <c r="B28" t="s">
        <v>167</v>
      </c>
      <c r="C28" s="1">
        <v>35620</v>
      </c>
      <c r="D28" s="2">
        <f t="shared" si="3"/>
        <v>23</v>
      </c>
      <c r="E28" s="1">
        <v>35666</v>
      </c>
      <c r="F28" s="2">
        <f t="shared" si="1"/>
        <v>69</v>
      </c>
      <c r="G28" s="2">
        <f t="shared" si="2"/>
        <v>47</v>
      </c>
    </row>
    <row r="29" spans="1:7" x14ac:dyDescent="0.45">
      <c r="A29" t="s">
        <v>219</v>
      </c>
      <c r="B29" t="s">
        <v>219</v>
      </c>
      <c r="C29" s="1">
        <v>35623</v>
      </c>
      <c r="D29" s="2">
        <f t="shared" si="3"/>
        <v>26</v>
      </c>
      <c r="E29" s="1">
        <v>35652</v>
      </c>
      <c r="F29" s="2">
        <f t="shared" si="1"/>
        <v>55</v>
      </c>
      <c r="G29" s="2">
        <f t="shared" si="2"/>
        <v>30</v>
      </c>
    </row>
    <row r="30" spans="1:7" x14ac:dyDescent="0.45">
      <c r="A30" t="s">
        <v>221</v>
      </c>
      <c r="B30" t="s">
        <v>221</v>
      </c>
      <c r="C30" s="1">
        <v>35623</v>
      </c>
      <c r="D30" s="2">
        <f t="shared" si="3"/>
        <v>26</v>
      </c>
      <c r="E30" s="1">
        <v>35652</v>
      </c>
      <c r="F30" s="2">
        <f t="shared" si="1"/>
        <v>55</v>
      </c>
      <c r="G30" s="2">
        <f t="shared" si="2"/>
        <v>30</v>
      </c>
    </row>
    <row r="31" spans="1:7" x14ac:dyDescent="0.45">
      <c r="A31" t="s">
        <v>222</v>
      </c>
      <c r="B31" t="s">
        <v>222</v>
      </c>
      <c r="C31" s="1">
        <v>35623</v>
      </c>
      <c r="D31" s="2">
        <f t="shared" si="3"/>
        <v>26</v>
      </c>
      <c r="E31" s="1">
        <v>35652</v>
      </c>
      <c r="F31" s="2">
        <f t="shared" si="1"/>
        <v>55</v>
      </c>
      <c r="G31" s="2">
        <f t="shared" si="2"/>
        <v>30</v>
      </c>
    </row>
    <row r="32" spans="1:7" x14ac:dyDescent="0.45">
      <c r="A32" t="s">
        <v>169</v>
      </c>
      <c r="B32" t="s">
        <v>169</v>
      </c>
      <c r="C32" s="1">
        <v>35625</v>
      </c>
      <c r="D32" s="2">
        <f t="shared" si="3"/>
        <v>28</v>
      </c>
      <c r="E32" s="1">
        <v>35625</v>
      </c>
      <c r="F32" s="2">
        <f t="shared" si="1"/>
        <v>28</v>
      </c>
      <c r="G32" s="2">
        <f t="shared" si="2"/>
        <v>1</v>
      </c>
    </row>
    <row r="33" spans="1:7" x14ac:dyDescent="0.45">
      <c r="A33" t="s">
        <v>160</v>
      </c>
      <c r="B33" t="s">
        <v>160</v>
      </c>
      <c r="C33" s="1">
        <v>35625</v>
      </c>
      <c r="D33" s="2">
        <f t="shared" si="3"/>
        <v>28</v>
      </c>
      <c r="E33" s="1">
        <v>35652</v>
      </c>
      <c r="F33" s="2">
        <f t="shared" si="1"/>
        <v>55</v>
      </c>
      <c r="G33" s="2">
        <f t="shared" si="2"/>
        <v>28</v>
      </c>
    </row>
    <row r="34" spans="1:7" x14ac:dyDescent="0.45">
      <c r="A34" t="s">
        <v>223</v>
      </c>
      <c r="B34" t="s">
        <v>223</v>
      </c>
      <c r="C34" s="1">
        <v>35625</v>
      </c>
      <c r="D34" s="2">
        <f t="shared" si="3"/>
        <v>28</v>
      </c>
      <c r="E34" s="1">
        <v>35661</v>
      </c>
      <c r="F34" s="2">
        <f t="shared" si="1"/>
        <v>64</v>
      </c>
      <c r="G34" s="2">
        <f t="shared" si="2"/>
        <v>37</v>
      </c>
    </row>
    <row r="35" spans="1:7" x14ac:dyDescent="0.45">
      <c r="A35" t="s">
        <v>224</v>
      </c>
      <c r="B35" t="s">
        <v>224</v>
      </c>
      <c r="C35" s="1">
        <v>35625</v>
      </c>
      <c r="D35" s="2">
        <f t="shared" si="3"/>
        <v>28</v>
      </c>
      <c r="E35" s="1">
        <v>35662</v>
      </c>
      <c r="F35" s="2">
        <f t="shared" si="1"/>
        <v>65</v>
      </c>
      <c r="G35" s="2">
        <f t="shared" si="2"/>
        <v>38</v>
      </c>
    </row>
    <row r="36" spans="1:7" x14ac:dyDescent="0.45">
      <c r="A36" t="s">
        <v>161</v>
      </c>
      <c r="B36" t="s">
        <v>161</v>
      </c>
      <c r="C36" s="1">
        <v>35625</v>
      </c>
      <c r="D36" s="2">
        <f t="shared" si="3"/>
        <v>28</v>
      </c>
      <c r="E36" s="1">
        <v>35663</v>
      </c>
      <c r="F36" s="2">
        <f t="shared" si="1"/>
        <v>66</v>
      </c>
      <c r="G36" s="2">
        <f t="shared" si="2"/>
        <v>39</v>
      </c>
    </row>
    <row r="37" spans="1:7" x14ac:dyDescent="0.45">
      <c r="A37" t="s">
        <v>225</v>
      </c>
      <c r="B37" t="s">
        <v>225</v>
      </c>
      <c r="C37" s="1">
        <v>35626</v>
      </c>
      <c r="D37" s="2">
        <f t="shared" si="3"/>
        <v>29</v>
      </c>
      <c r="E37" s="1">
        <v>35626</v>
      </c>
      <c r="F37" s="2">
        <f t="shared" si="1"/>
        <v>29</v>
      </c>
      <c r="G37" s="2">
        <f t="shared" si="2"/>
        <v>1</v>
      </c>
    </row>
    <row r="38" spans="1:7" x14ac:dyDescent="0.45">
      <c r="A38" t="s">
        <v>226</v>
      </c>
      <c r="B38" t="s">
        <v>226</v>
      </c>
      <c r="C38" s="1">
        <v>35626</v>
      </c>
      <c r="D38" s="2">
        <f t="shared" si="3"/>
        <v>29</v>
      </c>
      <c r="E38" s="1">
        <v>35631</v>
      </c>
      <c r="F38" s="2">
        <f t="shared" si="1"/>
        <v>34</v>
      </c>
      <c r="G38" s="2">
        <f t="shared" si="2"/>
        <v>6</v>
      </c>
    </row>
    <row r="39" spans="1:7" x14ac:dyDescent="0.45">
      <c r="A39" t="s">
        <v>182</v>
      </c>
      <c r="B39" t="s">
        <v>182</v>
      </c>
      <c r="C39" s="1">
        <v>35626</v>
      </c>
      <c r="D39" s="2">
        <f t="shared" si="3"/>
        <v>29</v>
      </c>
      <c r="E39" s="1">
        <v>35666</v>
      </c>
      <c r="F39" s="2">
        <f t="shared" si="1"/>
        <v>69</v>
      </c>
      <c r="G39" s="2">
        <f t="shared" si="2"/>
        <v>41</v>
      </c>
    </row>
    <row r="40" spans="1:7" x14ac:dyDescent="0.45">
      <c r="A40" t="s">
        <v>227</v>
      </c>
      <c r="B40" t="s">
        <v>227</v>
      </c>
      <c r="C40" s="1">
        <v>35628</v>
      </c>
      <c r="D40" s="2">
        <f t="shared" si="3"/>
        <v>31</v>
      </c>
      <c r="E40" s="1">
        <v>35651</v>
      </c>
      <c r="F40" s="2">
        <f t="shared" si="1"/>
        <v>54</v>
      </c>
      <c r="G40" s="2">
        <f t="shared" si="2"/>
        <v>24</v>
      </c>
    </row>
    <row r="41" spans="1:7" x14ac:dyDescent="0.45">
      <c r="A41" t="s">
        <v>228</v>
      </c>
      <c r="B41" t="s">
        <v>228</v>
      </c>
      <c r="C41" s="1">
        <v>35628</v>
      </c>
      <c r="D41" s="2">
        <f t="shared" si="3"/>
        <v>31</v>
      </c>
      <c r="E41" s="1">
        <v>35663</v>
      </c>
      <c r="F41" s="2">
        <f t="shared" si="1"/>
        <v>66</v>
      </c>
      <c r="G41" s="2">
        <f t="shared" si="2"/>
        <v>36</v>
      </c>
    </row>
    <row r="42" spans="1:7" x14ac:dyDescent="0.45">
      <c r="A42" t="s">
        <v>191</v>
      </c>
      <c r="B42" t="s">
        <v>191</v>
      </c>
      <c r="C42" s="1">
        <v>35631</v>
      </c>
      <c r="D42" s="2">
        <f t="shared" si="3"/>
        <v>34</v>
      </c>
      <c r="E42" s="1">
        <v>35652</v>
      </c>
      <c r="F42" s="2">
        <f t="shared" si="1"/>
        <v>55</v>
      </c>
      <c r="G42" s="2">
        <f t="shared" si="2"/>
        <v>22</v>
      </c>
    </row>
    <row r="43" spans="1:7" x14ac:dyDescent="0.45">
      <c r="A43" t="s">
        <v>229</v>
      </c>
      <c r="B43" t="s">
        <v>229</v>
      </c>
      <c r="C43" s="1">
        <v>35631</v>
      </c>
      <c r="D43" s="2">
        <f t="shared" si="3"/>
        <v>34</v>
      </c>
      <c r="E43" s="1">
        <v>35652</v>
      </c>
      <c r="F43" s="2">
        <f t="shared" si="1"/>
        <v>55</v>
      </c>
      <c r="G43" s="2">
        <f t="shared" si="2"/>
        <v>22</v>
      </c>
    </row>
    <row r="44" spans="1:7" x14ac:dyDescent="0.45">
      <c r="A44" t="s">
        <v>174</v>
      </c>
      <c r="B44" t="s">
        <v>174</v>
      </c>
      <c r="C44" s="1">
        <v>35631</v>
      </c>
      <c r="D44" s="2">
        <f t="shared" si="3"/>
        <v>34</v>
      </c>
      <c r="E44" s="1">
        <v>35662</v>
      </c>
      <c r="F44" s="2">
        <f t="shared" si="1"/>
        <v>65</v>
      </c>
      <c r="G44" s="2">
        <f t="shared" si="2"/>
        <v>32</v>
      </c>
    </row>
    <row r="45" spans="1:7" x14ac:dyDescent="0.45">
      <c r="A45" t="s">
        <v>151</v>
      </c>
      <c r="B45" t="s">
        <v>151</v>
      </c>
      <c r="C45" s="1">
        <v>35631</v>
      </c>
      <c r="D45" s="2">
        <f t="shared" si="3"/>
        <v>34</v>
      </c>
      <c r="E45" s="1">
        <v>35663</v>
      </c>
      <c r="F45" s="2">
        <f t="shared" si="1"/>
        <v>66</v>
      </c>
      <c r="G45" s="2">
        <f t="shared" si="2"/>
        <v>33</v>
      </c>
    </row>
    <row r="46" spans="1:7" x14ac:dyDescent="0.45">
      <c r="A46" t="s">
        <v>166</v>
      </c>
      <c r="B46" t="s">
        <v>166</v>
      </c>
      <c r="C46" s="1">
        <v>35632</v>
      </c>
      <c r="D46" s="2">
        <f t="shared" si="3"/>
        <v>35</v>
      </c>
      <c r="E46" s="1">
        <v>35662</v>
      </c>
      <c r="F46" s="2">
        <f t="shared" si="1"/>
        <v>65</v>
      </c>
      <c r="G46" s="2">
        <f t="shared" si="2"/>
        <v>31</v>
      </c>
    </row>
    <row r="47" spans="1:7" x14ac:dyDescent="0.45">
      <c r="A47" t="s">
        <v>230</v>
      </c>
      <c r="B47" t="s">
        <v>230</v>
      </c>
      <c r="C47" s="1">
        <v>35633</v>
      </c>
      <c r="D47" s="2">
        <f t="shared" si="3"/>
        <v>36</v>
      </c>
      <c r="E47" s="1">
        <v>35663</v>
      </c>
      <c r="F47" s="2">
        <f t="shared" si="1"/>
        <v>66</v>
      </c>
      <c r="G47" s="2">
        <f t="shared" si="2"/>
        <v>31</v>
      </c>
    </row>
    <row r="48" spans="1:7" x14ac:dyDescent="0.45">
      <c r="A48" t="s">
        <v>231</v>
      </c>
      <c r="B48" t="s">
        <v>231</v>
      </c>
      <c r="C48" s="1">
        <v>35639</v>
      </c>
      <c r="D48" s="2">
        <f t="shared" si="3"/>
        <v>42</v>
      </c>
      <c r="E48" s="1">
        <v>35639</v>
      </c>
      <c r="F48" s="2">
        <f t="shared" si="1"/>
        <v>42</v>
      </c>
      <c r="G48" s="2">
        <f t="shared" si="2"/>
        <v>1</v>
      </c>
    </row>
    <row r="49" spans="1:7" x14ac:dyDescent="0.45">
      <c r="A49" t="s">
        <v>197</v>
      </c>
      <c r="B49" t="s">
        <v>197</v>
      </c>
      <c r="C49" s="1">
        <v>35639</v>
      </c>
      <c r="D49" s="2">
        <f t="shared" si="3"/>
        <v>42</v>
      </c>
      <c r="E49" s="1">
        <v>35663</v>
      </c>
      <c r="F49" s="2">
        <f t="shared" si="1"/>
        <v>66</v>
      </c>
      <c r="G49" s="2">
        <f t="shared" si="2"/>
        <v>25</v>
      </c>
    </row>
    <row r="50" spans="1:7" x14ac:dyDescent="0.45">
      <c r="A50" t="s">
        <v>232</v>
      </c>
      <c r="B50" t="s">
        <v>232</v>
      </c>
      <c r="C50" s="1">
        <v>35639</v>
      </c>
      <c r="D50" s="2">
        <f t="shared" si="3"/>
        <v>42</v>
      </c>
      <c r="E50" s="1">
        <v>35663</v>
      </c>
      <c r="F50" s="2">
        <f t="shared" si="1"/>
        <v>66</v>
      </c>
      <c r="G50" s="2">
        <f t="shared" si="2"/>
        <v>25</v>
      </c>
    </row>
    <row r="51" spans="1:7" x14ac:dyDescent="0.45">
      <c r="A51" t="s">
        <v>175</v>
      </c>
      <c r="B51" t="s">
        <v>175</v>
      </c>
      <c r="C51" s="1">
        <v>35640</v>
      </c>
      <c r="D51" s="2">
        <f t="shared" si="3"/>
        <v>43</v>
      </c>
      <c r="E51" s="1">
        <v>35640</v>
      </c>
      <c r="F51" s="2">
        <f t="shared" si="1"/>
        <v>43</v>
      </c>
      <c r="G51" s="2">
        <f t="shared" si="2"/>
        <v>1</v>
      </c>
    </row>
    <row r="52" spans="1:7" x14ac:dyDescent="0.45">
      <c r="A52" t="s">
        <v>200</v>
      </c>
      <c r="B52" t="s">
        <v>200</v>
      </c>
      <c r="C52" s="1">
        <v>35640</v>
      </c>
      <c r="D52" s="2">
        <f t="shared" si="3"/>
        <v>43</v>
      </c>
      <c r="E52" s="1">
        <v>35640</v>
      </c>
      <c r="F52" s="2">
        <f t="shared" si="1"/>
        <v>43</v>
      </c>
      <c r="G52" s="2">
        <f t="shared" si="2"/>
        <v>1</v>
      </c>
    </row>
    <row r="53" spans="1:7" x14ac:dyDescent="0.45">
      <c r="A53" t="s">
        <v>233</v>
      </c>
      <c r="B53" t="s">
        <v>233</v>
      </c>
      <c r="C53" s="1">
        <v>35640</v>
      </c>
      <c r="D53" s="2">
        <f t="shared" si="3"/>
        <v>43</v>
      </c>
      <c r="E53" s="1">
        <v>35651</v>
      </c>
      <c r="F53" s="2">
        <f t="shared" si="1"/>
        <v>54</v>
      </c>
      <c r="G53" s="2">
        <f t="shared" si="2"/>
        <v>12</v>
      </c>
    </row>
    <row r="54" spans="1:7" x14ac:dyDescent="0.45">
      <c r="A54" t="s">
        <v>234</v>
      </c>
      <c r="B54" t="s">
        <v>234</v>
      </c>
      <c r="C54" s="1">
        <v>35640</v>
      </c>
      <c r="D54" s="2">
        <f t="shared" si="3"/>
        <v>43</v>
      </c>
      <c r="E54" s="1">
        <v>35652</v>
      </c>
      <c r="F54" s="2">
        <f t="shared" si="1"/>
        <v>55</v>
      </c>
      <c r="G54" s="2">
        <f t="shared" si="2"/>
        <v>13</v>
      </c>
    </row>
    <row r="55" spans="1:7" x14ac:dyDescent="0.45">
      <c r="A55" t="s">
        <v>235</v>
      </c>
      <c r="B55" t="s">
        <v>235</v>
      </c>
      <c r="C55" s="1">
        <v>35642</v>
      </c>
      <c r="D55" s="2">
        <f t="shared" si="3"/>
        <v>45</v>
      </c>
      <c r="E55" s="1">
        <v>35651</v>
      </c>
      <c r="F55" s="2">
        <f t="shared" si="1"/>
        <v>54</v>
      </c>
      <c r="G55" s="2">
        <f t="shared" si="2"/>
        <v>10</v>
      </c>
    </row>
    <row r="56" spans="1:7" x14ac:dyDescent="0.45">
      <c r="A56" t="s">
        <v>150</v>
      </c>
      <c r="B56" t="s">
        <v>249</v>
      </c>
      <c r="C56" s="1">
        <v>35647</v>
      </c>
      <c r="D56" s="2">
        <f t="shared" si="3"/>
        <v>50</v>
      </c>
      <c r="E56" s="1">
        <v>35647</v>
      </c>
      <c r="F56" s="2">
        <f t="shared" si="1"/>
        <v>50</v>
      </c>
      <c r="G56" s="2">
        <f t="shared" si="2"/>
        <v>1</v>
      </c>
    </row>
    <row r="57" spans="1:7" x14ac:dyDescent="0.45">
      <c r="A57" t="s">
        <v>236</v>
      </c>
      <c r="B57" t="s">
        <v>236</v>
      </c>
      <c r="C57" s="1">
        <v>35647</v>
      </c>
      <c r="D57" s="2">
        <f t="shared" si="3"/>
        <v>50</v>
      </c>
      <c r="E57" s="1">
        <v>35662</v>
      </c>
      <c r="F57" s="2">
        <f t="shared" si="1"/>
        <v>65</v>
      </c>
      <c r="G57" s="2">
        <f t="shared" si="2"/>
        <v>16</v>
      </c>
    </row>
    <row r="58" spans="1:7" x14ac:dyDescent="0.45">
      <c r="A58" t="s">
        <v>152</v>
      </c>
      <c r="B58" t="s">
        <v>152</v>
      </c>
      <c r="C58" s="1">
        <v>35651</v>
      </c>
      <c r="D58" s="2">
        <f t="shared" si="3"/>
        <v>54</v>
      </c>
      <c r="E58" s="1">
        <v>35651</v>
      </c>
      <c r="F58" s="2">
        <f t="shared" si="1"/>
        <v>54</v>
      </c>
      <c r="G58" s="2">
        <f t="shared" si="2"/>
        <v>1</v>
      </c>
    </row>
    <row r="59" spans="1:7" x14ac:dyDescent="0.45">
      <c r="A59" t="s">
        <v>183</v>
      </c>
      <c r="B59" t="s">
        <v>183</v>
      </c>
      <c r="C59" s="1">
        <v>35651</v>
      </c>
      <c r="D59" s="2">
        <f t="shared" si="3"/>
        <v>54</v>
      </c>
      <c r="E59" s="1">
        <v>35651</v>
      </c>
      <c r="F59" s="2">
        <f t="shared" si="1"/>
        <v>54</v>
      </c>
      <c r="G59" s="2">
        <f t="shared" si="2"/>
        <v>1</v>
      </c>
    </row>
    <row r="60" spans="1:7" x14ac:dyDescent="0.45">
      <c r="A60" t="s">
        <v>237</v>
      </c>
      <c r="B60" t="s">
        <v>237</v>
      </c>
      <c r="C60" s="1">
        <v>35651</v>
      </c>
      <c r="D60" s="2">
        <f t="shared" si="3"/>
        <v>54</v>
      </c>
      <c r="E60" s="1">
        <v>35651</v>
      </c>
      <c r="F60" s="2">
        <f t="shared" si="1"/>
        <v>54</v>
      </c>
      <c r="G60" s="2">
        <f t="shared" si="2"/>
        <v>1</v>
      </c>
    </row>
    <row r="61" spans="1:7" x14ac:dyDescent="0.45">
      <c r="A61" t="s">
        <v>238</v>
      </c>
      <c r="B61" t="s">
        <v>238</v>
      </c>
      <c r="C61" s="1">
        <v>35651</v>
      </c>
      <c r="D61" s="2">
        <f t="shared" si="3"/>
        <v>54</v>
      </c>
      <c r="E61" s="1">
        <v>35652</v>
      </c>
      <c r="F61" s="2">
        <f t="shared" si="1"/>
        <v>55</v>
      </c>
      <c r="G61" s="2">
        <f t="shared" si="2"/>
        <v>2</v>
      </c>
    </row>
    <row r="62" spans="1:7" x14ac:dyDescent="0.45">
      <c r="A62" t="s">
        <v>186</v>
      </c>
      <c r="B62" t="s">
        <v>186</v>
      </c>
      <c r="C62" s="1">
        <v>35652</v>
      </c>
      <c r="D62" s="2">
        <f t="shared" si="3"/>
        <v>55</v>
      </c>
      <c r="E62" s="1">
        <v>35652</v>
      </c>
      <c r="F62" s="2">
        <f t="shared" si="1"/>
        <v>55</v>
      </c>
      <c r="G62" s="2">
        <f t="shared" si="2"/>
        <v>1</v>
      </c>
    </row>
    <row r="63" spans="1:7" x14ac:dyDescent="0.45">
      <c r="A63" t="s">
        <v>199</v>
      </c>
      <c r="B63" t="s">
        <v>199</v>
      </c>
      <c r="C63" s="1">
        <v>35652</v>
      </c>
      <c r="D63" s="2">
        <f t="shared" si="3"/>
        <v>55</v>
      </c>
      <c r="E63" s="1">
        <v>35652</v>
      </c>
      <c r="F63" s="2">
        <f t="shared" si="1"/>
        <v>55</v>
      </c>
      <c r="G63" s="2">
        <f t="shared" si="2"/>
        <v>1</v>
      </c>
    </row>
    <row r="64" spans="1:7" x14ac:dyDescent="0.45">
      <c r="A64" t="s">
        <v>184</v>
      </c>
      <c r="B64" t="s">
        <v>184</v>
      </c>
      <c r="C64" s="1">
        <v>35652</v>
      </c>
      <c r="D64" s="2">
        <f t="shared" si="3"/>
        <v>55</v>
      </c>
      <c r="E64" s="1">
        <v>35663</v>
      </c>
      <c r="F64" s="2">
        <f t="shared" si="1"/>
        <v>66</v>
      </c>
      <c r="G64" s="2">
        <f t="shared" si="2"/>
        <v>12</v>
      </c>
    </row>
    <row r="65" spans="1:7" x14ac:dyDescent="0.45">
      <c r="A65" t="s">
        <v>194</v>
      </c>
      <c r="B65" t="s">
        <v>194</v>
      </c>
      <c r="C65" s="1">
        <v>35662</v>
      </c>
      <c r="D65" s="2">
        <f t="shared" si="3"/>
        <v>65</v>
      </c>
      <c r="E65" s="1">
        <v>35662</v>
      </c>
      <c r="F65" s="2">
        <f t="shared" si="1"/>
        <v>65</v>
      </c>
      <c r="G65" s="2">
        <f t="shared" si="2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B95A-49D5-4935-85C2-8385724FF069}">
  <dimension ref="A1:AF77"/>
  <sheetViews>
    <sheetView zoomScale="70" zoomScaleNormal="70" workbookViewId="0">
      <selection activeCell="AK23" sqref="AK23"/>
    </sheetView>
  </sheetViews>
  <sheetFormatPr defaultRowHeight="14.25" x14ac:dyDescent="0.45"/>
  <cols>
    <col min="1" max="1" width="74.1328125" customWidth="1"/>
  </cols>
  <sheetData>
    <row r="1" spans="1:32" x14ac:dyDescent="0.45">
      <c r="B1" t="s">
        <v>80</v>
      </c>
      <c r="C1" t="s">
        <v>127</v>
      </c>
      <c r="D1" t="s">
        <v>118</v>
      </c>
      <c r="E1" t="s">
        <v>112</v>
      </c>
      <c r="F1" t="s">
        <v>119</v>
      </c>
      <c r="G1" t="s">
        <v>106</v>
      </c>
      <c r="H1" t="s">
        <v>128</v>
      </c>
      <c r="I1" t="s">
        <v>56</v>
      </c>
      <c r="J1" t="s">
        <v>94</v>
      </c>
      <c r="K1" t="s">
        <v>110</v>
      </c>
      <c r="L1" t="s">
        <v>50</v>
      </c>
      <c r="M1" t="s">
        <v>125</v>
      </c>
      <c r="N1" t="s">
        <v>43</v>
      </c>
      <c r="O1" t="s">
        <v>21</v>
      </c>
      <c r="P1" t="s">
        <v>88</v>
      </c>
      <c r="Q1" t="s">
        <v>121</v>
      </c>
      <c r="R1" t="s">
        <v>113</v>
      </c>
      <c r="S1" t="s">
        <v>67</v>
      </c>
      <c r="T1" t="s">
        <v>131</v>
      </c>
      <c r="U1" t="s">
        <v>133</v>
      </c>
      <c r="V1" t="s">
        <v>64</v>
      </c>
      <c r="W1" t="s">
        <v>117</v>
      </c>
      <c r="X1" t="s">
        <v>32</v>
      </c>
      <c r="Y1" t="s">
        <v>100</v>
      </c>
      <c r="Z1" t="s">
        <v>135</v>
      </c>
      <c r="AA1" t="s">
        <v>123</v>
      </c>
      <c r="AB1" t="s">
        <v>77</v>
      </c>
      <c r="AC1" t="s">
        <v>73</v>
      </c>
      <c r="AD1" t="s">
        <v>84</v>
      </c>
      <c r="AE1" t="s">
        <v>87</v>
      </c>
      <c r="AF1" t="s">
        <v>96</v>
      </c>
    </row>
    <row r="2" spans="1:32" x14ac:dyDescent="0.45">
      <c r="A2" t="s">
        <v>207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</row>
    <row r="3" spans="1:32" x14ac:dyDescent="0.45">
      <c r="A3" t="s">
        <v>217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>
        <v>0</v>
      </c>
      <c r="AF3">
        <v>1</v>
      </c>
    </row>
    <row r="4" spans="1:32" x14ac:dyDescent="0.45">
      <c r="A4" t="s">
        <v>223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243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</row>
    <row r="6" spans="1:32" x14ac:dyDescent="0.45">
      <c r="A6" t="s">
        <v>205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</row>
    <row r="7" spans="1:32" x14ac:dyDescent="0.45">
      <c r="A7" t="s">
        <v>167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224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</row>
    <row r="9" spans="1:32" x14ac:dyDescent="0.45">
      <c r="A9" t="s">
        <v>219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</row>
    <row r="10" spans="1:32" x14ac:dyDescent="0.45">
      <c r="A10" t="s">
        <v>228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45">
      <c r="A11" t="s">
        <v>162</v>
      </c>
      <c r="B11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45">
      <c r="A12" t="s">
        <v>174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45">
      <c r="A13" t="s">
        <v>239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</row>
    <row r="14" spans="1:32" x14ac:dyDescent="0.45">
      <c r="A14" t="s">
        <v>221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</row>
    <row r="15" spans="1:32" x14ac:dyDescent="0.45">
      <c r="A15" t="s">
        <v>151</v>
      </c>
      <c r="B15">
        <v>0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</row>
    <row r="16" spans="1:32" x14ac:dyDescent="0.45">
      <c r="A16" t="s">
        <v>156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45">
      <c r="A17" t="s">
        <v>154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</row>
    <row r="18" spans="1:32" x14ac:dyDescent="0.45">
      <c r="A18" t="s">
        <v>210</v>
      </c>
      <c r="B18">
        <v>1</v>
      </c>
      <c r="C18">
        <v>0</v>
      </c>
      <c r="D18">
        <v>1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</row>
    <row r="19" spans="1:32" x14ac:dyDescent="0.45">
      <c r="A19" t="s">
        <v>232</v>
      </c>
      <c r="B19">
        <v>1</v>
      </c>
      <c r="C19">
        <v>1</v>
      </c>
      <c r="D19">
        <v>0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45">
      <c r="A20" t="s">
        <v>145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</row>
    <row r="21" spans="1:32" x14ac:dyDescent="0.45">
      <c r="A21" t="s">
        <v>230</v>
      </c>
      <c r="B21">
        <v>0</v>
      </c>
      <c r="C21">
        <v>1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45">
      <c r="A22" t="s">
        <v>198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</row>
    <row r="23" spans="1:32" x14ac:dyDescent="0.45">
      <c r="A23" t="s">
        <v>182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45">
      <c r="A24" t="s">
        <v>191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45">
      <c r="A25" t="s">
        <v>169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45">
      <c r="A26" t="s">
        <v>142</v>
      </c>
      <c r="B26">
        <v>0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45">
      <c r="A27" t="s">
        <v>236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45">
      <c r="A28" t="s">
        <v>184</v>
      </c>
      <c r="B28">
        <v>1</v>
      </c>
      <c r="C28">
        <v>0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45">
      <c r="A29" t="s">
        <v>244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45">
      <c r="A30" t="s">
        <v>245</v>
      </c>
      <c r="B30">
        <v>0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45">
      <c r="A31" t="s">
        <v>213</v>
      </c>
      <c r="B31">
        <v>0</v>
      </c>
      <c r="C31">
        <v>1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45">
      <c r="A32" t="s">
        <v>222</v>
      </c>
      <c r="B32">
        <v>0</v>
      </c>
      <c r="C32">
        <v>0</v>
      </c>
      <c r="D32">
        <v>1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45">
      <c r="A33" t="s">
        <v>160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45">
      <c r="A34" t="s">
        <v>161</v>
      </c>
      <c r="B34">
        <v>0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45">
      <c r="A35" t="s">
        <v>175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</row>
    <row r="36" spans="1:32" x14ac:dyDescent="0.45">
      <c r="A36" t="s">
        <v>246</v>
      </c>
      <c r="B36" s="2">
        <v>0</v>
      </c>
      <c r="C36" s="2">
        <v>0</v>
      </c>
      <c r="D36" s="2">
        <v>0</v>
      </c>
      <c r="E36" s="2">
        <v>1</v>
      </c>
      <c r="F36" s="2">
        <v>1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</row>
    <row r="37" spans="1:32" x14ac:dyDescent="0.45">
      <c r="A37" t="s">
        <v>194</v>
      </c>
      <c r="B37">
        <v>0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45">
      <c r="A38" t="s">
        <v>148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</row>
    <row r="39" spans="1:32" x14ac:dyDescent="0.45">
      <c r="A39" t="s">
        <v>212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45">
      <c r="A40" t="s">
        <v>247</v>
      </c>
      <c r="B40">
        <v>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</row>
    <row r="41" spans="1:32" x14ac:dyDescent="0.45">
      <c r="A41" t="s">
        <v>248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45">
      <c r="A42" t="s">
        <v>180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</row>
    <row r="43" spans="1:32" x14ac:dyDescent="0.45">
      <c r="A43" t="s">
        <v>166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45">
      <c r="A44" t="s">
        <v>227</v>
      </c>
      <c r="B44">
        <v>0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45">
      <c r="A45" t="s">
        <v>186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45">
      <c r="A46" t="s">
        <v>177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45">
      <c r="A47" t="s">
        <v>197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45">
      <c r="A48" t="s">
        <v>229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45">
      <c r="A49" t="s">
        <v>209</v>
      </c>
      <c r="B49">
        <v>0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45">
      <c r="A50" t="s">
        <v>214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45">
      <c r="A51" t="s">
        <v>193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45">
      <c r="A52" t="s">
        <v>234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45">
      <c r="A53" t="s">
        <v>183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45">
      <c r="A54" t="s">
        <v>173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</row>
    <row r="55" spans="1:32" x14ac:dyDescent="0.45">
      <c r="A55" t="s">
        <v>199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45">
      <c r="A56" t="s">
        <v>226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45">
      <c r="A57" t="s">
        <v>237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45">
      <c r="A58" t="s">
        <v>192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45">
      <c r="A59" t="s">
        <v>181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45">
      <c r="A60" t="s">
        <v>249</v>
      </c>
      <c r="B60">
        <v>0</v>
      </c>
      <c r="C60">
        <v>1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45">
      <c r="A61" t="s">
        <v>235</v>
      </c>
      <c r="B61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45">
      <c r="A62" t="s">
        <v>185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45">
      <c r="A63" t="s">
        <v>200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45">
      <c r="A64" t="s">
        <v>250</v>
      </c>
      <c r="B64">
        <v>0</v>
      </c>
      <c r="C64">
        <v>0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45">
      <c r="A65" t="s">
        <v>240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45">
      <c r="A66" t="s">
        <v>241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</row>
    <row r="67" spans="1:32" x14ac:dyDescent="0.45">
      <c r="A67" t="s">
        <v>165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45">
      <c r="A68" t="s">
        <v>187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45">
      <c r="A69" t="s">
        <v>233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45">
      <c r="A70" t="s">
        <v>225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45">
      <c r="A71" t="s">
        <v>231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45">
      <c r="A72" t="s">
        <v>242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</row>
    <row r="73" spans="1:32" x14ac:dyDescent="0.45">
      <c r="A73" t="s">
        <v>206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45">
      <c r="A74" t="s">
        <v>238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45">
      <c r="A75" t="s">
        <v>201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45">
      <c r="A76" t="s">
        <v>252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45">
      <c r="A77" t="s">
        <v>251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1EAB-4262-4EC6-857F-F00DE65D976D}">
  <dimension ref="A1:M172"/>
  <sheetViews>
    <sheetView topLeftCell="A22" workbookViewId="0">
      <selection activeCell="I39" sqref="I39"/>
    </sheetView>
  </sheetViews>
  <sheetFormatPr defaultRowHeight="14.25" x14ac:dyDescent="0.45"/>
  <cols>
    <col min="1" max="1" width="27.6640625" bestFit="1" customWidth="1"/>
    <col min="2" max="9" width="10.73046875" bestFit="1" customWidth="1"/>
    <col min="10" max="13" width="11.66406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</row>
    <row r="3" spans="1:13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</row>
    <row r="4" spans="1:13" x14ac:dyDescent="0.4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22</v>
      </c>
      <c r="I4" t="s">
        <v>28</v>
      </c>
      <c r="J4" t="s">
        <v>29</v>
      </c>
      <c r="K4" t="s">
        <v>30</v>
      </c>
      <c r="L4" t="s">
        <v>31</v>
      </c>
      <c r="M4" t="s">
        <v>30</v>
      </c>
    </row>
    <row r="5" spans="1:13" x14ac:dyDescent="0.45">
      <c r="A5" t="s">
        <v>32</v>
      </c>
      <c r="B5" t="s">
        <v>22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22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</row>
    <row r="6" spans="1:13" x14ac:dyDescent="0.45">
      <c r="A6" t="s">
        <v>43</v>
      </c>
      <c r="B6" t="s">
        <v>22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22</v>
      </c>
      <c r="I6" t="s">
        <v>29</v>
      </c>
      <c r="J6" t="s">
        <v>39</v>
      </c>
      <c r="K6" t="s">
        <v>31</v>
      </c>
      <c r="L6" t="s">
        <v>41</v>
      </c>
      <c r="M6" t="s">
        <v>49</v>
      </c>
    </row>
    <row r="7" spans="1:13" x14ac:dyDescent="0.45">
      <c r="A7" t="s">
        <v>50</v>
      </c>
      <c r="B7" t="s">
        <v>22</v>
      </c>
      <c r="C7" t="s">
        <v>51</v>
      </c>
      <c r="D7" t="s">
        <v>34</v>
      </c>
      <c r="E7" t="s">
        <v>49</v>
      </c>
      <c r="F7" t="s">
        <v>36</v>
      </c>
      <c r="G7" t="s">
        <v>52</v>
      </c>
      <c r="H7" t="s">
        <v>22</v>
      </c>
      <c r="I7" t="s">
        <v>53</v>
      </c>
      <c r="J7" t="s">
        <v>29</v>
      </c>
      <c r="K7" t="s">
        <v>54</v>
      </c>
      <c r="L7" t="s">
        <v>31</v>
      </c>
      <c r="M7" t="s">
        <v>55</v>
      </c>
    </row>
    <row r="8" spans="1:13" x14ac:dyDescent="0.45">
      <c r="A8" t="s">
        <v>56</v>
      </c>
      <c r="B8" t="s">
        <v>22</v>
      </c>
      <c r="C8" t="s">
        <v>53</v>
      </c>
      <c r="D8" t="s">
        <v>45</v>
      </c>
      <c r="E8" t="s">
        <v>57</v>
      </c>
      <c r="F8" t="s">
        <v>47</v>
      </c>
      <c r="G8" t="s">
        <v>58</v>
      </c>
      <c r="H8" t="s">
        <v>22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</row>
    <row r="9" spans="1:13" x14ac:dyDescent="0.45">
      <c r="A9" t="s">
        <v>64</v>
      </c>
      <c r="B9" t="s">
        <v>22</v>
      </c>
      <c r="C9" t="s">
        <v>65</v>
      </c>
      <c r="D9" t="s">
        <v>45</v>
      </c>
      <c r="E9" t="s">
        <v>66</v>
      </c>
      <c r="F9" t="s">
        <v>47</v>
      </c>
      <c r="G9" t="s">
        <v>52</v>
      </c>
      <c r="H9" t="s">
        <v>22</v>
      </c>
      <c r="I9" t="s">
        <v>29</v>
      </c>
      <c r="J9" t="s">
        <v>29</v>
      </c>
      <c r="K9" t="s">
        <v>31</v>
      </c>
      <c r="L9" t="s">
        <v>31</v>
      </c>
      <c r="M9" t="s">
        <v>22</v>
      </c>
    </row>
    <row r="10" spans="1:13" x14ac:dyDescent="0.45">
      <c r="A10" t="s">
        <v>67</v>
      </c>
      <c r="B10" t="s">
        <v>22</v>
      </c>
      <c r="C10" t="s">
        <v>24</v>
      </c>
      <c r="D10" t="s">
        <v>68</v>
      </c>
      <c r="E10" t="s">
        <v>26</v>
      </c>
      <c r="F10" t="s">
        <v>69</v>
      </c>
      <c r="G10" t="s">
        <v>70</v>
      </c>
      <c r="H10" t="s">
        <v>22</v>
      </c>
      <c r="I10" t="s">
        <v>71</v>
      </c>
      <c r="J10" t="s">
        <v>29</v>
      </c>
      <c r="K10" t="s">
        <v>72</v>
      </c>
      <c r="L10" t="s">
        <v>31</v>
      </c>
      <c r="M10" t="s">
        <v>70</v>
      </c>
    </row>
    <row r="11" spans="1:13" x14ac:dyDescent="0.45">
      <c r="A11" t="s">
        <v>73</v>
      </c>
      <c r="B11" t="s">
        <v>22</v>
      </c>
      <c r="C11" t="s">
        <v>51</v>
      </c>
      <c r="D11" t="s">
        <v>51</v>
      </c>
      <c r="E11" t="s">
        <v>49</v>
      </c>
      <c r="F11" t="s">
        <v>49</v>
      </c>
      <c r="G11" t="s">
        <v>22</v>
      </c>
      <c r="H11" t="s">
        <v>22</v>
      </c>
      <c r="I11" t="s">
        <v>74</v>
      </c>
      <c r="J11" t="s">
        <v>44</v>
      </c>
      <c r="K11" t="s">
        <v>75</v>
      </c>
      <c r="L11" t="s">
        <v>76</v>
      </c>
      <c r="M11" t="s">
        <v>42</v>
      </c>
    </row>
    <row r="12" spans="1:13" x14ac:dyDescent="0.45">
      <c r="A12" t="s">
        <v>77</v>
      </c>
      <c r="B12" t="s">
        <v>22</v>
      </c>
      <c r="C12" t="s">
        <v>24</v>
      </c>
      <c r="D12" t="s">
        <v>34</v>
      </c>
      <c r="E12" t="s">
        <v>26</v>
      </c>
      <c r="F12" t="s">
        <v>36</v>
      </c>
      <c r="G12" t="s">
        <v>61</v>
      </c>
      <c r="H12" t="s">
        <v>22</v>
      </c>
      <c r="I12" t="s">
        <v>78</v>
      </c>
      <c r="J12" t="s">
        <v>29</v>
      </c>
      <c r="K12" t="s">
        <v>79</v>
      </c>
      <c r="L12" t="s">
        <v>31</v>
      </c>
      <c r="M12" t="s">
        <v>61</v>
      </c>
    </row>
    <row r="13" spans="1:13" x14ac:dyDescent="0.45">
      <c r="A13" t="s">
        <v>80</v>
      </c>
      <c r="B13" t="s">
        <v>22</v>
      </c>
      <c r="C13" t="s">
        <v>81</v>
      </c>
      <c r="D13" t="s">
        <v>68</v>
      </c>
      <c r="E13" t="s">
        <v>22</v>
      </c>
      <c r="F13" t="s">
        <v>69</v>
      </c>
      <c r="G13" t="s">
        <v>69</v>
      </c>
      <c r="H13" t="s">
        <v>22</v>
      </c>
      <c r="I13" t="s">
        <v>82</v>
      </c>
      <c r="J13" t="s">
        <v>83</v>
      </c>
      <c r="K13" t="s">
        <v>22</v>
      </c>
      <c r="L13" t="s">
        <v>31</v>
      </c>
      <c r="M13" t="s">
        <v>31</v>
      </c>
    </row>
    <row r="14" spans="1:13" x14ac:dyDescent="0.45">
      <c r="A14" t="s">
        <v>84</v>
      </c>
      <c r="B14" t="s">
        <v>22</v>
      </c>
      <c r="C14" t="s">
        <v>85</v>
      </c>
      <c r="D14" t="s">
        <v>34</v>
      </c>
      <c r="E14" t="s">
        <v>48</v>
      </c>
      <c r="F14" t="s">
        <v>36</v>
      </c>
      <c r="G14" t="s">
        <v>86</v>
      </c>
      <c r="H14" t="s">
        <v>22</v>
      </c>
      <c r="I14" t="s">
        <v>28</v>
      </c>
      <c r="J14" t="s">
        <v>28</v>
      </c>
      <c r="K14" t="s">
        <v>30</v>
      </c>
      <c r="L14" t="s">
        <v>30</v>
      </c>
      <c r="M14" t="s">
        <v>22</v>
      </c>
    </row>
    <row r="15" spans="1:13" x14ac:dyDescent="0.45">
      <c r="A15" t="s">
        <v>87</v>
      </c>
      <c r="B15" t="s">
        <v>22</v>
      </c>
      <c r="C15" t="s">
        <v>53</v>
      </c>
      <c r="D15" t="s">
        <v>53</v>
      </c>
      <c r="E15" t="s">
        <v>57</v>
      </c>
      <c r="F15" t="s">
        <v>57</v>
      </c>
      <c r="G15" t="s">
        <v>22</v>
      </c>
      <c r="H15" t="s">
        <v>22</v>
      </c>
      <c r="I15" t="s">
        <v>59</v>
      </c>
      <c r="J15" t="s">
        <v>74</v>
      </c>
      <c r="K15" t="s">
        <v>61</v>
      </c>
      <c r="L15" t="s">
        <v>75</v>
      </c>
      <c r="M15" t="s">
        <v>54</v>
      </c>
    </row>
    <row r="16" spans="1:13" x14ac:dyDescent="0.45">
      <c r="A16" t="s">
        <v>88</v>
      </c>
      <c r="B16" t="s">
        <v>22</v>
      </c>
      <c r="C16" t="s">
        <v>89</v>
      </c>
      <c r="D16" t="s">
        <v>45</v>
      </c>
      <c r="E16" t="s">
        <v>75</v>
      </c>
      <c r="F16" t="s">
        <v>47</v>
      </c>
      <c r="G16" t="s">
        <v>90</v>
      </c>
      <c r="H16" t="s">
        <v>22</v>
      </c>
      <c r="I16" t="s">
        <v>91</v>
      </c>
      <c r="J16" t="s">
        <v>39</v>
      </c>
      <c r="K16" t="s">
        <v>92</v>
      </c>
      <c r="L16" t="s">
        <v>41</v>
      </c>
      <c r="M16" t="s">
        <v>93</v>
      </c>
    </row>
    <row r="17" spans="1:13" x14ac:dyDescent="0.45">
      <c r="A17" t="s">
        <v>94</v>
      </c>
      <c r="B17" t="s">
        <v>22</v>
      </c>
      <c r="C17" t="s">
        <v>53</v>
      </c>
      <c r="D17" t="s">
        <v>68</v>
      </c>
      <c r="E17" t="s">
        <v>57</v>
      </c>
      <c r="F17" t="s">
        <v>69</v>
      </c>
      <c r="G17" t="s">
        <v>90</v>
      </c>
      <c r="H17" t="s">
        <v>22</v>
      </c>
      <c r="I17" t="s">
        <v>59</v>
      </c>
      <c r="J17" t="s">
        <v>39</v>
      </c>
      <c r="K17" t="s">
        <v>61</v>
      </c>
      <c r="L17" t="s">
        <v>41</v>
      </c>
      <c r="M17" t="s">
        <v>95</v>
      </c>
    </row>
    <row r="18" spans="1:13" x14ac:dyDescent="0.45">
      <c r="A18" t="s">
        <v>96</v>
      </c>
      <c r="B18" t="s">
        <v>22</v>
      </c>
      <c r="C18" t="s">
        <v>97</v>
      </c>
      <c r="D18" t="s">
        <v>98</v>
      </c>
      <c r="E18" t="s">
        <v>54</v>
      </c>
      <c r="F18" t="s">
        <v>37</v>
      </c>
      <c r="G18" t="s">
        <v>25</v>
      </c>
      <c r="H18" t="s">
        <v>22</v>
      </c>
      <c r="I18" t="s">
        <v>24</v>
      </c>
      <c r="J18" t="s">
        <v>24</v>
      </c>
      <c r="K18" t="s">
        <v>99</v>
      </c>
      <c r="L18" t="s">
        <v>99</v>
      </c>
      <c r="M18" t="s">
        <v>22</v>
      </c>
    </row>
    <row r="19" spans="1:13" x14ac:dyDescent="0.45">
      <c r="A19" t="s">
        <v>100</v>
      </c>
      <c r="B19" t="s">
        <v>22</v>
      </c>
      <c r="C19" t="s">
        <v>91</v>
      </c>
      <c r="D19" t="s">
        <v>24</v>
      </c>
      <c r="E19" t="s">
        <v>101</v>
      </c>
      <c r="F19" t="s">
        <v>26</v>
      </c>
      <c r="G19" t="s">
        <v>30</v>
      </c>
      <c r="H19" t="s">
        <v>22</v>
      </c>
      <c r="I19" t="s">
        <v>102</v>
      </c>
      <c r="J19" t="s">
        <v>103</v>
      </c>
      <c r="K19" t="s">
        <v>104</v>
      </c>
      <c r="L19" t="s">
        <v>47</v>
      </c>
      <c r="M19" t="s">
        <v>105</v>
      </c>
    </row>
    <row r="20" spans="1:13" x14ac:dyDescent="0.45">
      <c r="A20" t="s">
        <v>106</v>
      </c>
      <c r="B20" t="s">
        <v>22</v>
      </c>
      <c r="C20" t="s">
        <v>24</v>
      </c>
      <c r="D20" t="s">
        <v>107</v>
      </c>
      <c r="E20" t="s">
        <v>26</v>
      </c>
      <c r="F20" t="s">
        <v>40</v>
      </c>
      <c r="G20" t="s">
        <v>49</v>
      </c>
      <c r="H20" t="s">
        <v>22</v>
      </c>
      <c r="I20" t="s">
        <v>108</v>
      </c>
      <c r="J20" t="s">
        <v>60</v>
      </c>
      <c r="K20" t="s">
        <v>109</v>
      </c>
      <c r="L20" t="s">
        <v>62</v>
      </c>
      <c r="M20" t="s">
        <v>99</v>
      </c>
    </row>
    <row r="21" spans="1:13" x14ac:dyDescent="0.45">
      <c r="A21" t="s">
        <v>110</v>
      </c>
      <c r="B21" t="s">
        <v>22</v>
      </c>
      <c r="C21" t="s">
        <v>111</v>
      </c>
      <c r="D21" t="s">
        <v>34</v>
      </c>
      <c r="E21" t="s">
        <v>105</v>
      </c>
      <c r="F21" t="s">
        <v>36</v>
      </c>
      <c r="G21" t="s">
        <v>27</v>
      </c>
      <c r="H21" t="s">
        <v>22</v>
      </c>
      <c r="I21" t="s">
        <v>59</v>
      </c>
      <c r="J21" t="s">
        <v>29</v>
      </c>
      <c r="K21" t="s">
        <v>61</v>
      </c>
      <c r="L21" t="s">
        <v>31</v>
      </c>
      <c r="M21" t="s">
        <v>79</v>
      </c>
    </row>
    <row r="22" spans="1:13" x14ac:dyDescent="0.45">
      <c r="A22" t="s">
        <v>112</v>
      </c>
      <c r="B22" t="s">
        <v>22</v>
      </c>
      <c r="C22" t="s">
        <v>97</v>
      </c>
      <c r="D22" t="s">
        <v>34</v>
      </c>
      <c r="E22" t="s">
        <v>54</v>
      </c>
      <c r="F22" t="s">
        <v>36</v>
      </c>
      <c r="G22" t="s">
        <v>46</v>
      </c>
      <c r="H22" t="s">
        <v>22</v>
      </c>
      <c r="I22" t="s">
        <v>59</v>
      </c>
      <c r="J22" t="s">
        <v>29</v>
      </c>
      <c r="K22" t="s">
        <v>61</v>
      </c>
      <c r="L22" t="s">
        <v>31</v>
      </c>
      <c r="M22" t="s">
        <v>79</v>
      </c>
    </row>
    <row r="23" spans="1:13" x14ac:dyDescent="0.45">
      <c r="A23" t="s">
        <v>113</v>
      </c>
      <c r="B23" t="s">
        <v>22</v>
      </c>
      <c r="C23" t="s">
        <v>114</v>
      </c>
      <c r="D23" t="s">
        <v>115</v>
      </c>
      <c r="E23" t="s">
        <v>30</v>
      </c>
      <c r="F23" t="s">
        <v>109</v>
      </c>
      <c r="G23" t="s">
        <v>54</v>
      </c>
      <c r="H23" t="s">
        <v>22</v>
      </c>
      <c r="I23" t="s">
        <v>44</v>
      </c>
      <c r="J23" t="s">
        <v>29</v>
      </c>
      <c r="K23" t="s">
        <v>76</v>
      </c>
      <c r="L23" t="s">
        <v>31</v>
      </c>
      <c r="M23" t="s">
        <v>116</v>
      </c>
    </row>
    <row r="24" spans="1:13" x14ac:dyDescent="0.45">
      <c r="A24" t="s">
        <v>117</v>
      </c>
      <c r="B24" t="s">
        <v>22</v>
      </c>
      <c r="C24" t="s">
        <v>81</v>
      </c>
      <c r="D24" t="s">
        <v>51</v>
      </c>
      <c r="E24" t="s">
        <v>22</v>
      </c>
      <c r="F24" t="s">
        <v>49</v>
      </c>
      <c r="G24" t="s">
        <v>49</v>
      </c>
      <c r="H24" t="s">
        <v>22</v>
      </c>
      <c r="I24" t="s">
        <v>91</v>
      </c>
      <c r="J24" t="s">
        <v>28</v>
      </c>
      <c r="K24" t="s">
        <v>92</v>
      </c>
      <c r="L24" t="s">
        <v>30</v>
      </c>
      <c r="M24" t="s">
        <v>27</v>
      </c>
    </row>
    <row r="25" spans="1:13" x14ac:dyDescent="0.45">
      <c r="A25" t="s">
        <v>118</v>
      </c>
      <c r="B25" t="s">
        <v>22</v>
      </c>
      <c r="C25" t="s">
        <v>53</v>
      </c>
      <c r="D25" t="s">
        <v>68</v>
      </c>
      <c r="E25" t="s">
        <v>57</v>
      </c>
      <c r="F25" t="s">
        <v>69</v>
      </c>
      <c r="G25" t="s">
        <v>90</v>
      </c>
      <c r="H25" t="s">
        <v>22</v>
      </c>
      <c r="I25" t="s">
        <v>82</v>
      </c>
      <c r="J25" t="s">
        <v>29</v>
      </c>
      <c r="K25" t="s">
        <v>22</v>
      </c>
      <c r="L25" t="s">
        <v>31</v>
      </c>
      <c r="M25" t="s">
        <v>31</v>
      </c>
    </row>
    <row r="26" spans="1:13" x14ac:dyDescent="0.45">
      <c r="A26" t="s">
        <v>119</v>
      </c>
      <c r="B26" t="s">
        <v>22</v>
      </c>
      <c r="C26" t="s">
        <v>120</v>
      </c>
      <c r="D26" t="s">
        <v>45</v>
      </c>
      <c r="E26" t="s">
        <v>76</v>
      </c>
      <c r="F26" t="s">
        <v>47</v>
      </c>
      <c r="G26" t="s">
        <v>49</v>
      </c>
      <c r="H26" t="s">
        <v>22</v>
      </c>
      <c r="I26" t="s">
        <v>103</v>
      </c>
      <c r="J26" t="s">
        <v>83</v>
      </c>
      <c r="K26" t="s">
        <v>47</v>
      </c>
      <c r="L26" t="s">
        <v>95</v>
      </c>
      <c r="M26" t="s">
        <v>42</v>
      </c>
    </row>
    <row r="27" spans="1:13" x14ac:dyDescent="0.45">
      <c r="A27" t="s">
        <v>121</v>
      </c>
      <c r="B27" t="s">
        <v>22</v>
      </c>
      <c r="C27" t="s">
        <v>34</v>
      </c>
      <c r="D27" t="s">
        <v>45</v>
      </c>
      <c r="E27" t="s">
        <v>36</v>
      </c>
      <c r="F27" t="s">
        <v>47</v>
      </c>
      <c r="G27" t="s">
        <v>122</v>
      </c>
      <c r="H27" t="s">
        <v>22</v>
      </c>
      <c r="I27" t="s">
        <v>108</v>
      </c>
      <c r="J27" t="s">
        <v>39</v>
      </c>
      <c r="K27" t="s">
        <v>109</v>
      </c>
      <c r="L27" t="s">
        <v>41</v>
      </c>
      <c r="M27" t="s">
        <v>36</v>
      </c>
    </row>
    <row r="28" spans="1:13" x14ac:dyDescent="0.45">
      <c r="A28" t="s">
        <v>123</v>
      </c>
      <c r="B28" t="s">
        <v>22</v>
      </c>
      <c r="C28" t="s">
        <v>45</v>
      </c>
      <c r="D28" t="s">
        <v>107</v>
      </c>
      <c r="E28" t="s">
        <v>47</v>
      </c>
      <c r="F28" t="s">
        <v>40</v>
      </c>
      <c r="G28" t="s">
        <v>61</v>
      </c>
      <c r="H28" t="s">
        <v>22</v>
      </c>
      <c r="I28" t="s">
        <v>34</v>
      </c>
      <c r="J28" t="s">
        <v>39</v>
      </c>
      <c r="K28" t="s">
        <v>69</v>
      </c>
      <c r="L28" t="s">
        <v>41</v>
      </c>
      <c r="M28" t="s">
        <v>124</v>
      </c>
    </row>
    <row r="29" spans="1:13" x14ac:dyDescent="0.45">
      <c r="A29" t="s">
        <v>125</v>
      </c>
      <c r="B29" t="s">
        <v>22</v>
      </c>
      <c r="C29" t="s">
        <v>51</v>
      </c>
      <c r="D29" t="s">
        <v>68</v>
      </c>
      <c r="E29" t="s">
        <v>49</v>
      </c>
      <c r="F29" t="s">
        <v>69</v>
      </c>
      <c r="G29" t="s">
        <v>126</v>
      </c>
      <c r="H29" t="s">
        <v>22</v>
      </c>
      <c r="I29" t="s">
        <v>28</v>
      </c>
      <c r="J29" t="s">
        <v>29</v>
      </c>
      <c r="K29" t="s">
        <v>30</v>
      </c>
      <c r="L29" t="s">
        <v>31</v>
      </c>
      <c r="M29" t="s">
        <v>30</v>
      </c>
    </row>
    <row r="30" spans="1:13" x14ac:dyDescent="0.45">
      <c r="A30" t="s">
        <v>127</v>
      </c>
      <c r="B30" t="s">
        <v>22</v>
      </c>
      <c r="C30" t="s">
        <v>53</v>
      </c>
      <c r="D30" t="s">
        <v>34</v>
      </c>
      <c r="E30" t="s">
        <v>57</v>
      </c>
      <c r="F30" t="s">
        <v>36</v>
      </c>
      <c r="G30" t="s">
        <v>76</v>
      </c>
      <c r="H30" t="s">
        <v>22</v>
      </c>
      <c r="I30" t="s">
        <v>82</v>
      </c>
      <c r="J30" t="s">
        <v>83</v>
      </c>
      <c r="K30" t="s">
        <v>22</v>
      </c>
      <c r="L30" t="s">
        <v>31</v>
      </c>
      <c r="M30" t="s">
        <v>31</v>
      </c>
    </row>
    <row r="31" spans="1:13" x14ac:dyDescent="0.45">
      <c r="A31" t="s">
        <v>128</v>
      </c>
      <c r="B31" t="s">
        <v>22</v>
      </c>
      <c r="C31" t="s">
        <v>53</v>
      </c>
      <c r="D31" t="s">
        <v>45</v>
      </c>
      <c r="E31" t="s">
        <v>57</v>
      </c>
      <c r="F31" t="s">
        <v>47</v>
      </c>
      <c r="G31" t="s">
        <v>58</v>
      </c>
      <c r="H31" t="s">
        <v>22</v>
      </c>
      <c r="I31" t="s">
        <v>129</v>
      </c>
      <c r="J31" t="s">
        <v>60</v>
      </c>
      <c r="K31" t="s">
        <v>25</v>
      </c>
      <c r="L31" t="s">
        <v>62</v>
      </c>
      <c r="M31" t="s">
        <v>130</v>
      </c>
    </row>
    <row r="32" spans="1:13" x14ac:dyDescent="0.45">
      <c r="A32" t="s">
        <v>131</v>
      </c>
      <c r="B32" t="s">
        <v>22</v>
      </c>
      <c r="C32" t="s">
        <v>24</v>
      </c>
      <c r="D32" t="s">
        <v>45</v>
      </c>
      <c r="E32" t="s">
        <v>26</v>
      </c>
      <c r="F32" t="s">
        <v>47</v>
      </c>
      <c r="G32" t="s">
        <v>132</v>
      </c>
      <c r="H32" t="s">
        <v>22</v>
      </c>
      <c r="I32" t="s">
        <v>29</v>
      </c>
      <c r="J32" t="s">
        <v>39</v>
      </c>
      <c r="K32" t="s">
        <v>31</v>
      </c>
      <c r="L32" t="s">
        <v>41</v>
      </c>
      <c r="M32" t="s">
        <v>49</v>
      </c>
    </row>
    <row r="33" spans="1:13" x14ac:dyDescent="0.45">
      <c r="A33" t="s">
        <v>133</v>
      </c>
      <c r="B33" t="s">
        <v>22</v>
      </c>
      <c r="C33" t="s">
        <v>68</v>
      </c>
      <c r="D33" t="s">
        <v>68</v>
      </c>
      <c r="E33" t="s">
        <v>69</v>
      </c>
      <c r="F33" t="s">
        <v>69</v>
      </c>
      <c r="G33" t="s">
        <v>22</v>
      </c>
      <c r="H33" t="s">
        <v>22</v>
      </c>
      <c r="I33" t="s">
        <v>115</v>
      </c>
      <c r="J33" t="s">
        <v>29</v>
      </c>
      <c r="K33" t="s">
        <v>134</v>
      </c>
      <c r="L33" t="s">
        <v>31</v>
      </c>
      <c r="M33" t="s">
        <v>86</v>
      </c>
    </row>
    <row r="34" spans="1:13" x14ac:dyDescent="0.45">
      <c r="A34" t="s">
        <v>135</v>
      </c>
      <c r="B34" t="s">
        <v>22</v>
      </c>
      <c r="C34" t="s">
        <v>23</v>
      </c>
      <c r="D34" t="s">
        <v>136</v>
      </c>
      <c r="E34" t="s">
        <v>25</v>
      </c>
      <c r="F34" t="s">
        <v>126</v>
      </c>
      <c r="G34" t="s">
        <v>105</v>
      </c>
      <c r="H34" t="s">
        <v>22</v>
      </c>
      <c r="I34" t="s">
        <v>91</v>
      </c>
      <c r="J34" t="s">
        <v>44</v>
      </c>
      <c r="K34" t="s">
        <v>92</v>
      </c>
      <c r="L34" t="s">
        <v>76</v>
      </c>
      <c r="M34" t="s">
        <v>137</v>
      </c>
    </row>
    <row r="35" spans="1:13" x14ac:dyDescent="0.45">
      <c r="A35" t="s">
        <v>138</v>
      </c>
      <c r="B35" t="s">
        <v>76</v>
      </c>
      <c r="H35" t="s">
        <v>76</v>
      </c>
    </row>
    <row r="39" spans="1:13" x14ac:dyDescent="0.45">
      <c r="A39" t="s">
        <v>0</v>
      </c>
      <c r="B39" t="s">
        <v>1</v>
      </c>
      <c r="C39" t="s">
        <v>2</v>
      </c>
      <c r="D39" t="s">
        <v>3</v>
      </c>
    </row>
    <row r="40" spans="1:13" x14ac:dyDescent="0.45">
      <c r="A40" t="s">
        <v>139</v>
      </c>
    </row>
    <row r="41" spans="1:13" x14ac:dyDescent="0.45">
      <c r="A41" t="s">
        <v>13</v>
      </c>
      <c r="B41" t="s">
        <v>16</v>
      </c>
      <c r="C41" t="s">
        <v>17</v>
      </c>
      <c r="D41" t="s">
        <v>20</v>
      </c>
    </row>
    <row r="42" spans="1:13" x14ac:dyDescent="0.45">
      <c r="A42" t="s">
        <v>140</v>
      </c>
    </row>
    <row r="43" spans="1:13" x14ac:dyDescent="0.45">
      <c r="A43" t="s">
        <v>141</v>
      </c>
      <c r="B43" t="s">
        <v>101</v>
      </c>
      <c r="C43" t="s">
        <v>69</v>
      </c>
      <c r="D43" t="s">
        <v>36</v>
      </c>
    </row>
    <row r="44" spans="1:13" x14ac:dyDescent="0.45">
      <c r="A44" t="s">
        <v>142</v>
      </c>
      <c r="B44" t="s">
        <v>101</v>
      </c>
      <c r="C44" t="s">
        <v>49</v>
      </c>
      <c r="D44" t="s">
        <v>75</v>
      </c>
    </row>
    <row r="45" spans="1:13" x14ac:dyDescent="0.45">
      <c r="A45" t="s">
        <v>143</v>
      </c>
      <c r="B45" t="s">
        <v>54</v>
      </c>
      <c r="C45" t="s">
        <v>144</v>
      </c>
      <c r="D45" t="s">
        <v>58</v>
      </c>
    </row>
    <row r="46" spans="1:13" x14ac:dyDescent="0.45">
      <c r="A46" t="s">
        <v>145</v>
      </c>
      <c r="B46" t="s">
        <v>54</v>
      </c>
      <c r="C46" t="s">
        <v>144</v>
      </c>
      <c r="D46" t="s">
        <v>58</v>
      </c>
    </row>
    <row r="47" spans="1:13" x14ac:dyDescent="0.45">
      <c r="A47" t="s">
        <v>146</v>
      </c>
      <c r="B47" t="s">
        <v>54</v>
      </c>
      <c r="C47" t="s">
        <v>147</v>
      </c>
      <c r="D47" t="s">
        <v>90</v>
      </c>
    </row>
    <row r="48" spans="1:13" x14ac:dyDescent="0.45">
      <c r="A48" t="s">
        <v>148</v>
      </c>
      <c r="B48" t="s">
        <v>54</v>
      </c>
      <c r="C48" t="s">
        <v>27</v>
      </c>
      <c r="D48" t="s">
        <v>105</v>
      </c>
    </row>
    <row r="49" spans="1:4" x14ac:dyDescent="0.45">
      <c r="A49" t="s">
        <v>149</v>
      </c>
      <c r="B49" t="s">
        <v>54</v>
      </c>
      <c r="C49" t="s">
        <v>69</v>
      </c>
      <c r="D49" t="s">
        <v>76</v>
      </c>
    </row>
    <row r="50" spans="1:4" x14ac:dyDescent="0.45">
      <c r="A50" t="s">
        <v>150</v>
      </c>
      <c r="B50" t="s">
        <v>54</v>
      </c>
      <c r="C50" t="s">
        <v>54</v>
      </c>
      <c r="D50" t="s">
        <v>22</v>
      </c>
    </row>
    <row r="51" spans="1:4" x14ac:dyDescent="0.45">
      <c r="A51" t="s">
        <v>151</v>
      </c>
      <c r="B51" t="s">
        <v>54</v>
      </c>
      <c r="C51" t="s">
        <v>69</v>
      </c>
      <c r="D51" t="s">
        <v>76</v>
      </c>
    </row>
    <row r="52" spans="1:4" x14ac:dyDescent="0.45">
      <c r="A52" t="s">
        <v>152</v>
      </c>
      <c r="B52" t="s">
        <v>54</v>
      </c>
      <c r="C52" t="s">
        <v>54</v>
      </c>
      <c r="D52" t="s">
        <v>22</v>
      </c>
    </row>
    <row r="53" spans="1:4" x14ac:dyDescent="0.45">
      <c r="A53" t="s">
        <v>153</v>
      </c>
      <c r="B53" t="s">
        <v>75</v>
      </c>
      <c r="C53" t="s">
        <v>48</v>
      </c>
      <c r="D53" t="s">
        <v>92</v>
      </c>
    </row>
    <row r="54" spans="1:4" x14ac:dyDescent="0.45">
      <c r="A54" t="s">
        <v>154</v>
      </c>
      <c r="B54" t="s">
        <v>92</v>
      </c>
      <c r="C54" t="s">
        <v>69</v>
      </c>
      <c r="D54" t="s">
        <v>104</v>
      </c>
    </row>
    <row r="55" spans="1:4" x14ac:dyDescent="0.45">
      <c r="A55" t="s">
        <v>155</v>
      </c>
      <c r="B55" t="s">
        <v>92</v>
      </c>
      <c r="C55" t="s">
        <v>69</v>
      </c>
      <c r="D55" t="s">
        <v>104</v>
      </c>
    </row>
    <row r="56" spans="1:4" x14ac:dyDescent="0.45">
      <c r="A56" t="s">
        <v>156</v>
      </c>
      <c r="B56" t="s">
        <v>92</v>
      </c>
      <c r="C56" t="s">
        <v>134</v>
      </c>
      <c r="D56" t="s">
        <v>124</v>
      </c>
    </row>
    <row r="57" spans="1:4" x14ac:dyDescent="0.45">
      <c r="A57" t="s">
        <v>157</v>
      </c>
      <c r="B57" t="s">
        <v>92</v>
      </c>
      <c r="C57" t="s">
        <v>158</v>
      </c>
      <c r="D57" t="s">
        <v>159</v>
      </c>
    </row>
    <row r="58" spans="1:4" x14ac:dyDescent="0.45">
      <c r="A58" t="s">
        <v>160</v>
      </c>
      <c r="B58" t="s">
        <v>92</v>
      </c>
      <c r="C58" t="s">
        <v>147</v>
      </c>
      <c r="D58" t="s">
        <v>36</v>
      </c>
    </row>
    <row r="59" spans="1:4" x14ac:dyDescent="0.45">
      <c r="A59" t="s">
        <v>161</v>
      </c>
      <c r="B59" t="s">
        <v>132</v>
      </c>
      <c r="C59" t="s">
        <v>116</v>
      </c>
      <c r="D59" t="s">
        <v>35</v>
      </c>
    </row>
    <row r="60" spans="1:4" x14ac:dyDescent="0.45">
      <c r="A60" t="s">
        <v>162</v>
      </c>
      <c r="B60" t="s">
        <v>132</v>
      </c>
      <c r="C60" t="s">
        <v>147</v>
      </c>
      <c r="D60" t="s">
        <v>76</v>
      </c>
    </row>
    <row r="61" spans="1:4" x14ac:dyDescent="0.45">
      <c r="A61" t="s">
        <v>163</v>
      </c>
      <c r="B61" t="s">
        <v>132</v>
      </c>
      <c r="C61" t="s">
        <v>144</v>
      </c>
      <c r="D61" t="s">
        <v>99</v>
      </c>
    </row>
    <row r="62" spans="1:4" x14ac:dyDescent="0.45">
      <c r="A62" t="s">
        <v>164</v>
      </c>
      <c r="B62" t="s">
        <v>132</v>
      </c>
      <c r="C62" t="s">
        <v>90</v>
      </c>
      <c r="D62" t="s">
        <v>116</v>
      </c>
    </row>
    <row r="63" spans="1:4" x14ac:dyDescent="0.45">
      <c r="A63" t="s">
        <v>165</v>
      </c>
      <c r="B63" t="s">
        <v>49</v>
      </c>
      <c r="C63" t="s">
        <v>49</v>
      </c>
      <c r="D63" t="s">
        <v>22</v>
      </c>
    </row>
    <row r="64" spans="1:4" x14ac:dyDescent="0.45">
      <c r="A64" t="s">
        <v>166</v>
      </c>
      <c r="B64" t="s">
        <v>49</v>
      </c>
      <c r="C64" t="s">
        <v>49</v>
      </c>
      <c r="D64" t="s">
        <v>22</v>
      </c>
    </row>
    <row r="65" spans="1:4" x14ac:dyDescent="0.45">
      <c r="A65" t="s">
        <v>167</v>
      </c>
      <c r="B65" t="s">
        <v>49</v>
      </c>
      <c r="C65" t="s">
        <v>144</v>
      </c>
      <c r="D65" t="s">
        <v>90</v>
      </c>
    </row>
    <row r="66" spans="1:4" x14ac:dyDescent="0.45">
      <c r="A66" t="s">
        <v>168</v>
      </c>
      <c r="B66" t="s">
        <v>48</v>
      </c>
      <c r="C66" t="s">
        <v>90</v>
      </c>
      <c r="D66" t="s">
        <v>27</v>
      </c>
    </row>
    <row r="67" spans="1:4" x14ac:dyDescent="0.45">
      <c r="A67" t="s">
        <v>169</v>
      </c>
      <c r="B67" t="s">
        <v>48</v>
      </c>
      <c r="C67" t="s">
        <v>116</v>
      </c>
      <c r="D67" t="s">
        <v>122</v>
      </c>
    </row>
    <row r="68" spans="1:4" x14ac:dyDescent="0.45">
      <c r="A68" t="s">
        <v>170</v>
      </c>
      <c r="B68" t="s">
        <v>171</v>
      </c>
      <c r="C68" t="s">
        <v>99</v>
      </c>
      <c r="D68" t="s">
        <v>27</v>
      </c>
    </row>
    <row r="69" spans="1:4" x14ac:dyDescent="0.45">
      <c r="A69" t="s">
        <v>172</v>
      </c>
      <c r="B69" t="s">
        <v>86</v>
      </c>
      <c r="C69" t="s">
        <v>124</v>
      </c>
      <c r="D69" t="s">
        <v>25</v>
      </c>
    </row>
    <row r="70" spans="1:4" x14ac:dyDescent="0.45">
      <c r="A70" t="s">
        <v>173</v>
      </c>
      <c r="B70" t="s">
        <v>37</v>
      </c>
      <c r="C70" t="s">
        <v>76</v>
      </c>
      <c r="D70" t="s">
        <v>25</v>
      </c>
    </row>
    <row r="71" spans="1:4" x14ac:dyDescent="0.45">
      <c r="A71" t="s">
        <v>174</v>
      </c>
      <c r="B71" t="s">
        <v>137</v>
      </c>
      <c r="C71" t="s">
        <v>144</v>
      </c>
      <c r="D71" t="s">
        <v>42</v>
      </c>
    </row>
    <row r="72" spans="1:4" x14ac:dyDescent="0.45">
      <c r="A72" t="s">
        <v>175</v>
      </c>
      <c r="B72" t="s">
        <v>137</v>
      </c>
      <c r="C72" t="s">
        <v>69</v>
      </c>
      <c r="D72" t="s">
        <v>35</v>
      </c>
    </row>
    <row r="73" spans="1:4" x14ac:dyDescent="0.45">
      <c r="A73" t="s">
        <v>176</v>
      </c>
      <c r="B73" t="s">
        <v>137</v>
      </c>
      <c r="C73" t="s">
        <v>147</v>
      </c>
      <c r="D73" t="s">
        <v>37</v>
      </c>
    </row>
    <row r="74" spans="1:4" x14ac:dyDescent="0.45">
      <c r="A74" t="s">
        <v>177</v>
      </c>
      <c r="B74" t="s">
        <v>116</v>
      </c>
      <c r="C74" t="s">
        <v>116</v>
      </c>
      <c r="D74" t="s">
        <v>22</v>
      </c>
    </row>
    <row r="75" spans="1:4" x14ac:dyDescent="0.45">
      <c r="A75" t="s">
        <v>178</v>
      </c>
      <c r="B75" t="s">
        <v>30</v>
      </c>
      <c r="C75" t="s">
        <v>144</v>
      </c>
      <c r="D75" t="s">
        <v>37</v>
      </c>
    </row>
    <row r="76" spans="1:4" x14ac:dyDescent="0.45">
      <c r="A76" t="s">
        <v>179</v>
      </c>
      <c r="B76" t="s">
        <v>30</v>
      </c>
      <c r="C76" t="s">
        <v>30</v>
      </c>
      <c r="D76" t="s">
        <v>22</v>
      </c>
    </row>
    <row r="77" spans="1:4" x14ac:dyDescent="0.45">
      <c r="A77" t="s">
        <v>180</v>
      </c>
      <c r="B77" t="s">
        <v>124</v>
      </c>
      <c r="C77" t="s">
        <v>69</v>
      </c>
      <c r="D77" t="s">
        <v>75</v>
      </c>
    </row>
    <row r="78" spans="1:4" x14ac:dyDescent="0.45">
      <c r="A78" t="s">
        <v>181</v>
      </c>
      <c r="B78" t="s">
        <v>124</v>
      </c>
      <c r="C78" t="s">
        <v>124</v>
      </c>
      <c r="D78" t="s">
        <v>22</v>
      </c>
    </row>
    <row r="79" spans="1:4" x14ac:dyDescent="0.45">
      <c r="A79" t="s">
        <v>182</v>
      </c>
      <c r="B79" t="s">
        <v>124</v>
      </c>
      <c r="C79" t="s">
        <v>144</v>
      </c>
      <c r="D79" t="s">
        <v>171</v>
      </c>
    </row>
    <row r="80" spans="1:4" x14ac:dyDescent="0.45">
      <c r="A80" t="s">
        <v>183</v>
      </c>
      <c r="B80" t="s">
        <v>76</v>
      </c>
      <c r="C80" t="s">
        <v>76</v>
      </c>
      <c r="D80" t="s">
        <v>22</v>
      </c>
    </row>
    <row r="81" spans="1:4" x14ac:dyDescent="0.45">
      <c r="A81" t="s">
        <v>184</v>
      </c>
      <c r="B81" t="s">
        <v>76</v>
      </c>
      <c r="C81" t="s">
        <v>69</v>
      </c>
      <c r="D81" t="s">
        <v>54</v>
      </c>
    </row>
    <row r="82" spans="1:4" x14ac:dyDescent="0.45">
      <c r="A82" t="s">
        <v>185</v>
      </c>
      <c r="B82" t="s">
        <v>76</v>
      </c>
      <c r="C82" t="s">
        <v>76</v>
      </c>
      <c r="D82" t="s">
        <v>22</v>
      </c>
    </row>
    <row r="83" spans="1:4" x14ac:dyDescent="0.45">
      <c r="A83" t="s">
        <v>186</v>
      </c>
      <c r="B83" t="s">
        <v>26</v>
      </c>
      <c r="C83" t="s">
        <v>99</v>
      </c>
      <c r="D83" t="s">
        <v>101</v>
      </c>
    </row>
    <row r="84" spans="1:4" x14ac:dyDescent="0.45">
      <c r="A84" t="s">
        <v>187</v>
      </c>
      <c r="B84" t="s">
        <v>26</v>
      </c>
      <c r="C84" t="s">
        <v>26</v>
      </c>
      <c r="D84" t="s">
        <v>22</v>
      </c>
    </row>
    <row r="85" spans="1:4" x14ac:dyDescent="0.45">
      <c r="A85" t="s">
        <v>188</v>
      </c>
      <c r="B85" t="s">
        <v>26</v>
      </c>
      <c r="C85" t="s">
        <v>144</v>
      </c>
      <c r="D85" t="s">
        <v>35</v>
      </c>
    </row>
    <row r="86" spans="1:4" x14ac:dyDescent="0.45">
      <c r="A86" t="s">
        <v>189</v>
      </c>
      <c r="B86" t="s">
        <v>26</v>
      </c>
      <c r="C86" t="s">
        <v>144</v>
      </c>
      <c r="D86" t="s">
        <v>35</v>
      </c>
    </row>
    <row r="87" spans="1:4" x14ac:dyDescent="0.45">
      <c r="A87" t="s">
        <v>152</v>
      </c>
      <c r="B87" t="s">
        <v>26</v>
      </c>
      <c r="C87" t="s">
        <v>26</v>
      </c>
      <c r="D87" t="s">
        <v>22</v>
      </c>
    </row>
    <row r="88" spans="1:4" x14ac:dyDescent="0.45">
      <c r="A88" t="s">
        <v>190</v>
      </c>
      <c r="B88" t="s">
        <v>26</v>
      </c>
      <c r="C88" t="s">
        <v>26</v>
      </c>
      <c r="D88" t="s">
        <v>22</v>
      </c>
    </row>
    <row r="89" spans="1:4" x14ac:dyDescent="0.45">
      <c r="A89" t="s">
        <v>152</v>
      </c>
      <c r="B89" t="s">
        <v>26</v>
      </c>
      <c r="C89" t="s">
        <v>26</v>
      </c>
      <c r="D89" t="s">
        <v>22</v>
      </c>
    </row>
    <row r="90" spans="1:4" x14ac:dyDescent="0.45">
      <c r="A90" t="s">
        <v>191</v>
      </c>
      <c r="B90" t="s">
        <v>90</v>
      </c>
      <c r="C90" t="s">
        <v>144</v>
      </c>
      <c r="D90" t="s">
        <v>49</v>
      </c>
    </row>
    <row r="91" spans="1:4" x14ac:dyDescent="0.45">
      <c r="A91" t="s">
        <v>0</v>
      </c>
      <c r="B91" t="s">
        <v>1</v>
      </c>
      <c r="C91" t="s">
        <v>2</v>
      </c>
      <c r="D91" t="s">
        <v>3</v>
      </c>
    </row>
    <row r="92" spans="1:4" x14ac:dyDescent="0.45">
      <c r="A92" t="s">
        <v>192</v>
      </c>
      <c r="B92" t="s">
        <v>90</v>
      </c>
      <c r="C92" t="s">
        <v>69</v>
      </c>
      <c r="D92" t="s">
        <v>57</v>
      </c>
    </row>
    <row r="93" spans="1:4" x14ac:dyDescent="0.45">
      <c r="A93" t="s">
        <v>193</v>
      </c>
      <c r="B93" t="s">
        <v>99</v>
      </c>
      <c r="C93" t="s">
        <v>69</v>
      </c>
      <c r="D93" t="s">
        <v>61</v>
      </c>
    </row>
    <row r="94" spans="1:4" x14ac:dyDescent="0.45">
      <c r="A94" t="s">
        <v>194</v>
      </c>
      <c r="B94" t="s">
        <v>99</v>
      </c>
      <c r="C94" t="s">
        <v>147</v>
      </c>
      <c r="D94" t="s">
        <v>70</v>
      </c>
    </row>
    <row r="95" spans="1:4" x14ac:dyDescent="0.45">
      <c r="A95" t="s">
        <v>152</v>
      </c>
      <c r="B95" t="s">
        <v>99</v>
      </c>
      <c r="C95" t="s">
        <v>99</v>
      </c>
      <c r="D95" t="s">
        <v>22</v>
      </c>
    </row>
    <row r="96" spans="1:4" x14ac:dyDescent="0.45">
      <c r="A96" t="s">
        <v>195</v>
      </c>
      <c r="B96" t="s">
        <v>69</v>
      </c>
      <c r="C96" t="s">
        <v>69</v>
      </c>
      <c r="D96" t="s">
        <v>22</v>
      </c>
    </row>
    <row r="97" spans="1:4" x14ac:dyDescent="0.45">
      <c r="A97" t="s">
        <v>196</v>
      </c>
      <c r="B97" t="s">
        <v>69</v>
      </c>
      <c r="C97" t="s">
        <v>147</v>
      </c>
      <c r="D97" t="s">
        <v>101</v>
      </c>
    </row>
    <row r="98" spans="1:4" x14ac:dyDescent="0.45">
      <c r="A98" t="s">
        <v>197</v>
      </c>
      <c r="B98" t="s">
        <v>134</v>
      </c>
      <c r="C98" t="s">
        <v>134</v>
      </c>
      <c r="D98" t="s">
        <v>22</v>
      </c>
    </row>
    <row r="99" spans="1:4" x14ac:dyDescent="0.45">
      <c r="A99" t="s">
        <v>198</v>
      </c>
      <c r="B99" t="s">
        <v>147</v>
      </c>
      <c r="C99" t="s">
        <v>147</v>
      </c>
      <c r="D99" t="s">
        <v>22</v>
      </c>
    </row>
    <row r="100" spans="1:4" x14ac:dyDescent="0.45">
      <c r="A100" t="s">
        <v>199</v>
      </c>
      <c r="B100" t="s">
        <v>147</v>
      </c>
      <c r="C100" t="s">
        <v>147</v>
      </c>
      <c r="D100" t="s">
        <v>22</v>
      </c>
    </row>
    <row r="101" spans="1:4" x14ac:dyDescent="0.45">
      <c r="A101" t="s">
        <v>200</v>
      </c>
      <c r="B101" t="s">
        <v>147</v>
      </c>
      <c r="C101" t="s">
        <v>144</v>
      </c>
      <c r="D101" t="s">
        <v>70</v>
      </c>
    </row>
    <row r="102" spans="1:4" x14ac:dyDescent="0.45">
      <c r="A102" t="s">
        <v>201</v>
      </c>
      <c r="B102" t="s">
        <v>147</v>
      </c>
      <c r="C102" t="s">
        <v>147</v>
      </c>
      <c r="D102" t="s">
        <v>22</v>
      </c>
    </row>
    <row r="103" spans="1:4" x14ac:dyDescent="0.45">
      <c r="A103" t="s">
        <v>152</v>
      </c>
      <c r="B103" t="s">
        <v>147</v>
      </c>
      <c r="C103" t="s">
        <v>144</v>
      </c>
      <c r="D103" t="s">
        <v>70</v>
      </c>
    </row>
    <row r="104" spans="1:4" x14ac:dyDescent="0.45">
      <c r="A104" t="s">
        <v>202</v>
      </c>
      <c r="B104" t="s">
        <v>144</v>
      </c>
      <c r="C104" t="s">
        <v>144</v>
      </c>
      <c r="D104" t="s">
        <v>22</v>
      </c>
    </row>
    <row r="105" spans="1:4" x14ac:dyDescent="0.45">
      <c r="A105" t="s">
        <v>203</v>
      </c>
    </row>
    <row r="106" spans="1:4" x14ac:dyDescent="0.45">
      <c r="A106" t="s">
        <v>204</v>
      </c>
    </row>
    <row r="107" spans="1:4" x14ac:dyDescent="0.45">
      <c r="A107" t="s">
        <v>140</v>
      </c>
      <c r="B107" t="s">
        <v>16</v>
      </c>
      <c r="C107" t="s">
        <v>17</v>
      </c>
      <c r="D107" t="s">
        <v>20</v>
      </c>
    </row>
    <row r="108" spans="1:4" x14ac:dyDescent="0.45">
      <c r="A108" t="s">
        <v>198</v>
      </c>
      <c r="B108" t="s">
        <v>82</v>
      </c>
      <c r="C108" t="s">
        <v>83</v>
      </c>
      <c r="D108" t="s">
        <v>95</v>
      </c>
    </row>
    <row r="109" spans="1:4" x14ac:dyDescent="0.45">
      <c r="A109" t="s">
        <v>205</v>
      </c>
      <c r="B109" t="s">
        <v>82</v>
      </c>
      <c r="C109" t="s">
        <v>39</v>
      </c>
      <c r="D109" t="s">
        <v>41</v>
      </c>
    </row>
    <row r="110" spans="1:4" x14ac:dyDescent="0.45">
      <c r="A110" t="s">
        <v>156</v>
      </c>
      <c r="B110" t="s">
        <v>82</v>
      </c>
      <c r="C110" t="s">
        <v>39</v>
      </c>
      <c r="D110" t="s">
        <v>41</v>
      </c>
    </row>
    <row r="111" spans="1:4" x14ac:dyDescent="0.45">
      <c r="A111" t="s">
        <v>162</v>
      </c>
      <c r="B111" t="s">
        <v>82</v>
      </c>
      <c r="C111" t="s">
        <v>60</v>
      </c>
      <c r="D111" t="s">
        <v>62</v>
      </c>
    </row>
    <row r="112" spans="1:4" x14ac:dyDescent="0.45">
      <c r="A112" t="s">
        <v>152</v>
      </c>
      <c r="B112" t="s">
        <v>59</v>
      </c>
      <c r="C112" t="s">
        <v>59</v>
      </c>
      <c r="D112" t="s">
        <v>22</v>
      </c>
    </row>
    <row r="113" spans="1:4" x14ac:dyDescent="0.45">
      <c r="A113" t="s">
        <v>206</v>
      </c>
      <c r="B113" t="s">
        <v>59</v>
      </c>
      <c r="C113" t="s">
        <v>59</v>
      </c>
      <c r="D113" t="s">
        <v>22</v>
      </c>
    </row>
    <row r="114" spans="1:4" x14ac:dyDescent="0.45">
      <c r="A114" t="s">
        <v>207</v>
      </c>
      <c r="B114" t="s">
        <v>59</v>
      </c>
      <c r="C114" t="s">
        <v>39</v>
      </c>
      <c r="D114" t="s">
        <v>95</v>
      </c>
    </row>
    <row r="115" spans="1:4" x14ac:dyDescent="0.45">
      <c r="A115" t="s">
        <v>145</v>
      </c>
      <c r="B115" t="s">
        <v>59</v>
      </c>
      <c r="C115" t="s">
        <v>60</v>
      </c>
      <c r="D115" t="s">
        <v>63</v>
      </c>
    </row>
    <row r="116" spans="1:4" x14ac:dyDescent="0.45">
      <c r="A116" t="s">
        <v>152</v>
      </c>
      <c r="B116" t="s">
        <v>81</v>
      </c>
      <c r="C116" t="s">
        <v>81</v>
      </c>
      <c r="D116" t="s">
        <v>22</v>
      </c>
    </row>
    <row r="117" spans="1:4" x14ac:dyDescent="0.45">
      <c r="A117" t="s">
        <v>148</v>
      </c>
      <c r="B117" t="s">
        <v>81</v>
      </c>
      <c r="C117" t="s">
        <v>81</v>
      </c>
      <c r="D117" t="s">
        <v>22</v>
      </c>
    </row>
    <row r="118" spans="1:4" x14ac:dyDescent="0.45">
      <c r="A118" t="s">
        <v>142</v>
      </c>
      <c r="B118" t="s">
        <v>81</v>
      </c>
      <c r="C118" t="s">
        <v>39</v>
      </c>
      <c r="D118" t="s">
        <v>208</v>
      </c>
    </row>
    <row r="119" spans="1:4" x14ac:dyDescent="0.45">
      <c r="A119" t="s">
        <v>209</v>
      </c>
      <c r="B119" t="s">
        <v>74</v>
      </c>
      <c r="C119" t="s">
        <v>91</v>
      </c>
      <c r="D119" t="s">
        <v>61</v>
      </c>
    </row>
    <row r="120" spans="1:4" x14ac:dyDescent="0.45">
      <c r="A120" t="s">
        <v>153</v>
      </c>
      <c r="B120" t="s">
        <v>74</v>
      </c>
      <c r="C120" t="s">
        <v>98</v>
      </c>
      <c r="D120" t="s">
        <v>48</v>
      </c>
    </row>
    <row r="121" spans="1:4" x14ac:dyDescent="0.45">
      <c r="A121" t="s">
        <v>155</v>
      </c>
      <c r="B121" t="s">
        <v>74</v>
      </c>
      <c r="C121" t="s">
        <v>103</v>
      </c>
      <c r="D121" t="s">
        <v>90</v>
      </c>
    </row>
    <row r="122" spans="1:4" x14ac:dyDescent="0.45">
      <c r="A122" t="s">
        <v>154</v>
      </c>
      <c r="B122" t="s">
        <v>74</v>
      </c>
      <c r="C122" t="s">
        <v>38</v>
      </c>
      <c r="D122" t="s">
        <v>99</v>
      </c>
    </row>
    <row r="123" spans="1:4" x14ac:dyDescent="0.45">
      <c r="A123" t="s">
        <v>210</v>
      </c>
      <c r="B123" t="s">
        <v>74</v>
      </c>
      <c r="C123" t="s">
        <v>38</v>
      </c>
      <c r="D123" t="s">
        <v>99</v>
      </c>
    </row>
    <row r="124" spans="1:4" x14ac:dyDescent="0.45">
      <c r="A124" t="s">
        <v>168</v>
      </c>
      <c r="B124" t="s">
        <v>74</v>
      </c>
      <c r="C124" t="s">
        <v>38</v>
      </c>
      <c r="D124" t="s">
        <v>99</v>
      </c>
    </row>
    <row r="125" spans="1:4" x14ac:dyDescent="0.45">
      <c r="A125" t="s">
        <v>172</v>
      </c>
      <c r="B125" t="s">
        <v>74</v>
      </c>
      <c r="C125" t="s">
        <v>29</v>
      </c>
      <c r="D125" t="s">
        <v>211</v>
      </c>
    </row>
    <row r="126" spans="1:4" x14ac:dyDescent="0.45">
      <c r="A126" t="s">
        <v>212</v>
      </c>
      <c r="B126" t="s">
        <v>91</v>
      </c>
      <c r="C126" t="s">
        <v>29</v>
      </c>
      <c r="D126" t="s">
        <v>158</v>
      </c>
    </row>
    <row r="127" spans="1:4" x14ac:dyDescent="0.45">
      <c r="A127" t="s">
        <v>213</v>
      </c>
      <c r="B127" t="s">
        <v>91</v>
      </c>
      <c r="C127" t="s">
        <v>29</v>
      </c>
      <c r="D127" t="s">
        <v>158</v>
      </c>
    </row>
    <row r="128" spans="1:4" x14ac:dyDescent="0.45">
      <c r="A128" t="s">
        <v>152</v>
      </c>
      <c r="B128" t="s">
        <v>129</v>
      </c>
      <c r="C128" t="s">
        <v>129</v>
      </c>
      <c r="D128" t="s">
        <v>22</v>
      </c>
    </row>
    <row r="129" spans="1:4" x14ac:dyDescent="0.45">
      <c r="A129" t="s">
        <v>181</v>
      </c>
      <c r="B129" t="s">
        <v>129</v>
      </c>
      <c r="C129" t="s">
        <v>129</v>
      </c>
      <c r="D129" t="s">
        <v>22</v>
      </c>
    </row>
    <row r="130" spans="1:4" x14ac:dyDescent="0.45">
      <c r="A130" t="s">
        <v>177</v>
      </c>
      <c r="B130" t="s">
        <v>129</v>
      </c>
      <c r="C130" t="s">
        <v>24</v>
      </c>
      <c r="D130" t="s">
        <v>42</v>
      </c>
    </row>
    <row r="131" spans="1:4" x14ac:dyDescent="0.45">
      <c r="A131" t="s">
        <v>214</v>
      </c>
      <c r="B131" t="s">
        <v>98</v>
      </c>
      <c r="C131" t="s">
        <v>108</v>
      </c>
      <c r="D131" t="s">
        <v>49</v>
      </c>
    </row>
    <row r="132" spans="1:4" x14ac:dyDescent="0.45">
      <c r="A132" t="s">
        <v>215</v>
      </c>
      <c r="B132" t="s">
        <v>98</v>
      </c>
      <c r="C132" t="s">
        <v>216</v>
      </c>
      <c r="D132" t="s">
        <v>26</v>
      </c>
    </row>
    <row r="133" spans="1:4" x14ac:dyDescent="0.45">
      <c r="A133" t="s">
        <v>217</v>
      </c>
      <c r="B133" t="s">
        <v>98</v>
      </c>
      <c r="C133" t="s">
        <v>39</v>
      </c>
      <c r="D133" t="s">
        <v>218</v>
      </c>
    </row>
    <row r="134" spans="1:4" x14ac:dyDescent="0.45">
      <c r="A134" t="s">
        <v>167</v>
      </c>
      <c r="B134" t="s">
        <v>98</v>
      </c>
      <c r="C134" t="s">
        <v>60</v>
      </c>
      <c r="D134" t="s">
        <v>158</v>
      </c>
    </row>
    <row r="135" spans="1:4" x14ac:dyDescent="0.45">
      <c r="A135" t="s">
        <v>219</v>
      </c>
      <c r="B135" t="s">
        <v>220</v>
      </c>
      <c r="C135" t="s">
        <v>29</v>
      </c>
      <c r="D135" t="s">
        <v>124</v>
      </c>
    </row>
    <row r="136" spans="1:4" x14ac:dyDescent="0.45">
      <c r="A136" t="s">
        <v>221</v>
      </c>
      <c r="B136" t="s">
        <v>220</v>
      </c>
      <c r="C136" t="s">
        <v>29</v>
      </c>
      <c r="D136" t="s">
        <v>124</v>
      </c>
    </row>
    <row r="137" spans="1:4" x14ac:dyDescent="0.45">
      <c r="A137" t="s">
        <v>0</v>
      </c>
      <c r="B137" t="s">
        <v>1</v>
      </c>
      <c r="C137" t="s">
        <v>2</v>
      </c>
      <c r="D137" t="s">
        <v>3</v>
      </c>
    </row>
    <row r="138" spans="1:4" x14ac:dyDescent="0.45">
      <c r="A138" t="s">
        <v>222</v>
      </c>
      <c r="B138" s="1">
        <v>45850</v>
      </c>
      <c r="C138" s="1">
        <v>45879</v>
      </c>
      <c r="D138">
        <v>30</v>
      </c>
    </row>
    <row r="139" spans="1:4" x14ac:dyDescent="0.45">
      <c r="A139" t="s">
        <v>169</v>
      </c>
      <c r="B139" s="1">
        <v>45852</v>
      </c>
      <c r="C139" s="1">
        <v>45852</v>
      </c>
      <c r="D139">
        <v>1</v>
      </c>
    </row>
    <row r="140" spans="1:4" x14ac:dyDescent="0.45">
      <c r="A140" t="s">
        <v>160</v>
      </c>
      <c r="B140" s="1">
        <v>45852</v>
      </c>
      <c r="C140" s="1">
        <v>45879</v>
      </c>
      <c r="D140">
        <v>28</v>
      </c>
    </row>
    <row r="141" spans="1:4" x14ac:dyDescent="0.45">
      <c r="A141" t="s">
        <v>223</v>
      </c>
      <c r="B141" s="1">
        <v>45852</v>
      </c>
      <c r="C141" s="1">
        <v>45888</v>
      </c>
      <c r="D141">
        <v>37</v>
      </c>
    </row>
    <row r="142" spans="1:4" x14ac:dyDescent="0.45">
      <c r="A142" t="s">
        <v>224</v>
      </c>
      <c r="B142" s="1">
        <v>45852</v>
      </c>
      <c r="C142" s="1">
        <v>45889</v>
      </c>
      <c r="D142">
        <v>38</v>
      </c>
    </row>
    <row r="143" spans="1:4" x14ac:dyDescent="0.45">
      <c r="A143" t="s">
        <v>161</v>
      </c>
      <c r="B143" s="1">
        <v>45852</v>
      </c>
      <c r="C143" s="1">
        <v>45890</v>
      </c>
      <c r="D143">
        <v>39</v>
      </c>
    </row>
    <row r="144" spans="1:4" x14ac:dyDescent="0.45">
      <c r="A144" t="s">
        <v>225</v>
      </c>
      <c r="B144" s="1">
        <v>45853</v>
      </c>
      <c r="C144" s="1">
        <v>45853</v>
      </c>
      <c r="D144">
        <v>1</v>
      </c>
    </row>
    <row r="145" spans="1:4" x14ac:dyDescent="0.45">
      <c r="A145" t="s">
        <v>226</v>
      </c>
      <c r="B145" s="1">
        <v>45853</v>
      </c>
      <c r="C145" s="1">
        <v>45858</v>
      </c>
      <c r="D145">
        <v>6</v>
      </c>
    </row>
    <row r="146" spans="1:4" x14ac:dyDescent="0.45">
      <c r="A146" t="s">
        <v>182</v>
      </c>
      <c r="B146" s="1">
        <v>45853</v>
      </c>
      <c r="C146" s="1">
        <v>45893</v>
      </c>
      <c r="D146">
        <v>41</v>
      </c>
    </row>
    <row r="147" spans="1:4" x14ac:dyDescent="0.45">
      <c r="A147" t="s">
        <v>227</v>
      </c>
      <c r="B147" s="1">
        <v>45855</v>
      </c>
      <c r="C147" s="1">
        <v>45878</v>
      </c>
      <c r="D147">
        <v>24</v>
      </c>
    </row>
    <row r="148" spans="1:4" x14ac:dyDescent="0.45">
      <c r="A148" t="s">
        <v>228</v>
      </c>
      <c r="B148" s="1">
        <v>45855</v>
      </c>
      <c r="C148" s="1">
        <v>45890</v>
      </c>
      <c r="D148">
        <v>36</v>
      </c>
    </row>
    <row r="149" spans="1:4" x14ac:dyDescent="0.45">
      <c r="A149" t="s">
        <v>191</v>
      </c>
      <c r="B149" s="1">
        <v>45858</v>
      </c>
      <c r="C149" s="1">
        <v>45879</v>
      </c>
      <c r="D149">
        <v>22</v>
      </c>
    </row>
    <row r="150" spans="1:4" x14ac:dyDescent="0.45">
      <c r="A150" t="s">
        <v>229</v>
      </c>
      <c r="B150" s="1">
        <v>45858</v>
      </c>
      <c r="C150" s="1">
        <v>45879</v>
      </c>
      <c r="D150">
        <v>22</v>
      </c>
    </row>
    <row r="151" spans="1:4" x14ac:dyDescent="0.45">
      <c r="A151" t="s">
        <v>174</v>
      </c>
      <c r="B151" s="1">
        <v>45858</v>
      </c>
      <c r="C151" s="1">
        <v>45889</v>
      </c>
      <c r="D151">
        <v>32</v>
      </c>
    </row>
    <row r="152" spans="1:4" x14ac:dyDescent="0.45">
      <c r="A152" t="s">
        <v>151</v>
      </c>
      <c r="B152" s="1">
        <v>45858</v>
      </c>
      <c r="C152" s="1">
        <v>45890</v>
      </c>
      <c r="D152">
        <v>33</v>
      </c>
    </row>
    <row r="153" spans="1:4" x14ac:dyDescent="0.45">
      <c r="A153" t="s">
        <v>166</v>
      </c>
      <c r="B153" s="1">
        <v>45859</v>
      </c>
      <c r="C153" s="1">
        <v>45889</v>
      </c>
      <c r="D153">
        <v>31</v>
      </c>
    </row>
    <row r="154" spans="1:4" x14ac:dyDescent="0.45">
      <c r="A154" t="s">
        <v>230</v>
      </c>
      <c r="B154" s="1">
        <v>45860</v>
      </c>
      <c r="C154" s="1">
        <v>45890</v>
      </c>
      <c r="D154">
        <v>31</v>
      </c>
    </row>
    <row r="155" spans="1:4" x14ac:dyDescent="0.45">
      <c r="A155" t="s">
        <v>231</v>
      </c>
      <c r="B155" s="1">
        <v>45866</v>
      </c>
      <c r="C155" s="1">
        <v>45866</v>
      </c>
      <c r="D155">
        <v>1</v>
      </c>
    </row>
    <row r="156" spans="1:4" x14ac:dyDescent="0.45">
      <c r="A156" t="s">
        <v>197</v>
      </c>
      <c r="B156" s="1">
        <v>45866</v>
      </c>
      <c r="C156" s="1">
        <v>45890</v>
      </c>
      <c r="D156">
        <v>25</v>
      </c>
    </row>
    <row r="157" spans="1:4" x14ac:dyDescent="0.45">
      <c r="A157" t="s">
        <v>232</v>
      </c>
      <c r="B157" s="1">
        <v>45866</v>
      </c>
      <c r="C157" s="1">
        <v>45890</v>
      </c>
      <c r="D157">
        <v>25</v>
      </c>
    </row>
    <row r="158" spans="1:4" x14ac:dyDescent="0.45">
      <c r="A158" t="s">
        <v>175</v>
      </c>
      <c r="B158" s="1">
        <v>45867</v>
      </c>
      <c r="C158" s="1">
        <v>45867</v>
      </c>
      <c r="D158">
        <v>1</v>
      </c>
    </row>
    <row r="159" spans="1:4" x14ac:dyDescent="0.45">
      <c r="A159" t="s">
        <v>200</v>
      </c>
      <c r="B159" s="1">
        <v>45867</v>
      </c>
      <c r="C159" s="1">
        <v>45867</v>
      </c>
      <c r="D159">
        <v>1</v>
      </c>
    </row>
    <row r="160" spans="1:4" x14ac:dyDescent="0.45">
      <c r="A160" t="s">
        <v>233</v>
      </c>
      <c r="B160" s="1">
        <v>45867</v>
      </c>
      <c r="C160" s="1">
        <v>45878</v>
      </c>
      <c r="D160">
        <v>12</v>
      </c>
    </row>
    <row r="161" spans="1:4" x14ac:dyDescent="0.45">
      <c r="A161" t="s">
        <v>234</v>
      </c>
      <c r="B161" s="1">
        <v>45867</v>
      </c>
      <c r="C161" s="1">
        <v>45879</v>
      </c>
      <c r="D161">
        <v>13</v>
      </c>
    </row>
    <row r="162" spans="1:4" x14ac:dyDescent="0.45">
      <c r="A162" t="s">
        <v>235</v>
      </c>
      <c r="B162" s="1">
        <v>45869</v>
      </c>
      <c r="C162" s="1">
        <v>45878</v>
      </c>
      <c r="D162">
        <v>10</v>
      </c>
    </row>
    <row r="163" spans="1:4" x14ac:dyDescent="0.45">
      <c r="A163" t="s">
        <v>150</v>
      </c>
      <c r="B163" s="1">
        <v>45874</v>
      </c>
      <c r="C163" s="1">
        <v>45874</v>
      </c>
      <c r="D163">
        <v>1</v>
      </c>
    </row>
    <row r="164" spans="1:4" x14ac:dyDescent="0.45">
      <c r="A164" t="s">
        <v>236</v>
      </c>
      <c r="B164" s="1">
        <v>45874</v>
      </c>
      <c r="C164" s="1">
        <v>45889</v>
      </c>
      <c r="D164">
        <v>16</v>
      </c>
    </row>
    <row r="165" spans="1:4" x14ac:dyDescent="0.45">
      <c r="A165" t="s">
        <v>152</v>
      </c>
      <c r="B165" s="1">
        <v>45878</v>
      </c>
      <c r="C165" s="1">
        <v>45878</v>
      </c>
      <c r="D165">
        <v>1</v>
      </c>
    </row>
    <row r="166" spans="1:4" x14ac:dyDescent="0.45">
      <c r="A166" t="s">
        <v>183</v>
      </c>
      <c r="B166" s="1">
        <v>45878</v>
      </c>
      <c r="C166" s="1">
        <v>45878</v>
      </c>
      <c r="D166">
        <v>1</v>
      </c>
    </row>
    <row r="167" spans="1:4" x14ac:dyDescent="0.45">
      <c r="A167" t="s">
        <v>237</v>
      </c>
      <c r="B167" s="1">
        <v>45878</v>
      </c>
      <c r="C167" s="1">
        <v>45878</v>
      </c>
      <c r="D167">
        <v>1</v>
      </c>
    </row>
    <row r="168" spans="1:4" x14ac:dyDescent="0.45">
      <c r="A168" t="s">
        <v>238</v>
      </c>
      <c r="B168" s="1">
        <v>45878</v>
      </c>
      <c r="C168" s="1">
        <v>45879</v>
      </c>
      <c r="D168">
        <v>2</v>
      </c>
    </row>
    <row r="169" spans="1:4" x14ac:dyDescent="0.45">
      <c r="A169" t="s">
        <v>186</v>
      </c>
      <c r="B169" s="1">
        <v>45879</v>
      </c>
      <c r="C169" s="1">
        <v>45879</v>
      </c>
      <c r="D169">
        <v>1</v>
      </c>
    </row>
    <row r="170" spans="1:4" x14ac:dyDescent="0.45">
      <c r="A170" t="s">
        <v>199</v>
      </c>
      <c r="B170" s="1">
        <v>45879</v>
      </c>
      <c r="C170" s="1">
        <v>45879</v>
      </c>
      <c r="D170">
        <v>1</v>
      </c>
    </row>
    <row r="171" spans="1:4" x14ac:dyDescent="0.45">
      <c r="A171" t="s">
        <v>184</v>
      </c>
      <c r="B171" s="1">
        <v>45879</v>
      </c>
      <c r="C171" s="1">
        <v>45890</v>
      </c>
      <c r="D171">
        <v>12</v>
      </c>
    </row>
    <row r="172" spans="1:4" x14ac:dyDescent="0.45">
      <c r="A172" t="s">
        <v>194</v>
      </c>
      <c r="B172" s="1">
        <v>45889</v>
      </c>
      <c r="C172" s="1">
        <v>45889</v>
      </c>
      <c r="D172">
        <v>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E0211B-444F-486F-8245-1A28F4A68E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plants</vt:lpstr>
      <vt:lpstr>pollinators year 1</vt:lpstr>
      <vt:lpstr>pollinators year 2</vt:lpstr>
      <vt:lpstr>interactions</vt:lpstr>
      <vt:lpstr>Table001 (Page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Raoul Scribbans</dc:creator>
  <cp:lastModifiedBy>Raoul Scribbans</cp:lastModifiedBy>
  <dcterms:created xsi:type="dcterms:W3CDTF">2025-09-09T11:04:47Z</dcterms:created>
  <dcterms:modified xsi:type="dcterms:W3CDTF">2025-10-29T11:40:52Z</dcterms:modified>
</cp:coreProperties>
</file>